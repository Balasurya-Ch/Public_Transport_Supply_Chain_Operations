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D:\surya\Bin\My Study Materials\1st sem\2- Decisions in Operations Mgmt\MID OPS\"/>
    </mc:Choice>
  </mc:AlternateContent>
  <xr:revisionPtr revIDLastSave="0" documentId="13_ncr:1_{5075903B-44E1-4493-931B-111796F9499D}" xr6:coauthVersionLast="47" xr6:coauthVersionMax="47" xr10:uidLastSave="{00000000-0000-0000-0000-000000000000}"/>
  <bookViews>
    <workbookView xWindow="-110" yWindow="-110" windowWidth="19420" windowHeight="10560" firstSheet="2" activeTab="4" xr2:uid="{00000000-000D-0000-FFFF-FFFF00000000}"/>
  </bookViews>
  <sheets>
    <sheet name="Bus Transit  data" sheetId="1" r:id="rId1"/>
    <sheet name="Center of gravity" sheetId="5" r:id="rId2"/>
    <sheet name="Forecasting Ridership" sheetId="2" r:id="rId3"/>
    <sheet name="Passenger Demand forecasting" sheetId="8" r:id="rId4"/>
    <sheet name="little's law" sheetId="3" r:id="rId5"/>
  </sheets>
  <definedNames>
    <definedName name="_xlcn.WorksheetConnection_Sheet1G4G241" hidden="1">'Bus Transit  data'!$G$4:$G$24</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G$4:$G$2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9" i="3" l="1"/>
  <c r="J27" i="3"/>
  <c r="N27" i="3"/>
  <c r="I24" i="5"/>
  <c r="I23" i="5"/>
  <c r="I15" i="5"/>
  <c r="I14" i="5"/>
  <c r="E13" i="5"/>
  <c r="E12" i="5"/>
  <c r="H5" i="2"/>
  <c r="H6" i="2"/>
  <c r="H7" i="2"/>
  <c r="H8" i="2"/>
  <c r="H9" i="2"/>
  <c r="H10" i="2"/>
  <c r="H11" i="2"/>
  <c r="H12" i="2"/>
  <c r="H13" i="2"/>
  <c r="H14" i="2"/>
  <c r="H15" i="2"/>
  <c r="H16" i="2"/>
  <c r="H17" i="2"/>
  <c r="H18" i="2"/>
  <c r="H19" i="2"/>
  <c r="H20" i="2"/>
  <c r="H21" i="2"/>
  <c r="H22" i="2"/>
  <c r="H23" i="2"/>
  <c r="H24" i="2"/>
  <c r="H4" i="2"/>
  <c r="C39" i="1"/>
  <c r="D32" i="2"/>
  <c r="D30" i="2"/>
  <c r="D28" i="2"/>
  <c r="G22" i="3"/>
  <c r="G21" i="3"/>
  <c r="G20" i="3"/>
  <c r="G19" i="3"/>
  <c r="G18" i="3"/>
  <c r="G17" i="3"/>
  <c r="G16" i="3"/>
  <c r="G15" i="3"/>
  <c r="G14" i="3"/>
  <c r="G13" i="3"/>
  <c r="G12" i="3"/>
  <c r="G11" i="3"/>
  <c r="G10" i="3"/>
  <c r="G9" i="3"/>
  <c r="G8" i="3"/>
  <c r="G7" i="3"/>
  <c r="G6" i="3"/>
  <c r="G5" i="3"/>
  <c r="G4" i="3"/>
  <c r="G3" i="3"/>
  <c r="G2" i="3"/>
  <c r="G23" i="3" s="1"/>
  <c r="C40" i="1"/>
  <c r="I5" i="1"/>
  <c r="I6" i="1"/>
  <c r="I7" i="1"/>
  <c r="I8" i="1"/>
  <c r="I9" i="1"/>
  <c r="I10" i="1"/>
  <c r="I11" i="1"/>
  <c r="I12" i="1"/>
  <c r="I13" i="1"/>
  <c r="I14" i="1"/>
  <c r="I15" i="1"/>
  <c r="I16" i="1"/>
  <c r="I17" i="1"/>
  <c r="I18" i="1"/>
  <c r="I19" i="1"/>
  <c r="I20" i="1"/>
  <c r="I21" i="1"/>
  <c r="I22" i="1"/>
  <c r="I23" i="1"/>
  <c r="I24" i="1"/>
  <c r="I4" i="1"/>
  <c r="F30" i="1"/>
  <c r="C23" i="8"/>
  <c r="C24" i="8"/>
  <c r="C25" i="8"/>
  <c r="C26" i="8"/>
  <c r="C27" i="8"/>
  <c r="C28" i="8"/>
  <c r="D27" i="8"/>
  <c r="E27" i="8"/>
  <c r="D23" i="8"/>
  <c r="E26" i="8"/>
  <c r="D26" i="8"/>
  <c r="D24" i="8"/>
  <c r="E25" i="8"/>
  <c r="D25" i="8"/>
  <c r="D28" i="8"/>
  <c r="E24" i="8"/>
  <c r="E28" i="8"/>
  <c r="E23" i="8"/>
  <c r="J30"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872B0E-A614-42B0-96CE-9212BE463F9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8853693-EB5C-41FA-966C-C79CB01135A0}" name="WorksheetConnection_Sheet1!$G$4:$G$24" type="102" refreshedVersion="8" minRefreshableVersion="5">
    <extLst>
      <ext xmlns:x15="http://schemas.microsoft.com/office/spreadsheetml/2010/11/main" uri="{DE250136-89BD-433C-8126-D09CA5730AF9}">
        <x15:connection id="Range">
          <x15:rangePr sourceName="_xlcn.WorksheetConnection_Sheet1G4G241"/>
        </x15:connection>
      </ext>
    </extLst>
  </connection>
</connections>
</file>

<file path=xl/sharedStrings.xml><?xml version="1.0" encoding="utf-8"?>
<sst xmlns="http://schemas.openxmlformats.org/spreadsheetml/2006/main" count="160" uniqueCount="98">
  <si>
    <t>Temple st @ Chapel st</t>
  </si>
  <si>
    <t>Temple st @ Crown st</t>
  </si>
  <si>
    <t>N Frontage Rd &amp; York St</t>
  </si>
  <si>
    <t>Park St &amp; S Frontage Rd</t>
  </si>
  <si>
    <t>South St &amp; Howard Ave</t>
  </si>
  <si>
    <t>Sylvan Ave &amp; Opp Vernon St</t>
  </si>
  <si>
    <t>Sylvan Ave &amp; Ward St</t>
  </si>
  <si>
    <t>Sylvan Ave &amp; Opp Asylum St</t>
  </si>
  <si>
    <t>Sylvan Ave &amp; Orchard St</t>
  </si>
  <si>
    <t>Sylvan Ave &amp; Greenwood St</t>
  </si>
  <si>
    <t>Sylvan Ave &amp; Winthrop Ave</t>
  </si>
  <si>
    <t>Winthrop Ave &amp; Legion Ave</t>
  </si>
  <si>
    <t>Ella T Grasso Blvd &amp; Opp Legion Ave</t>
  </si>
  <si>
    <t>Ella T Grasso Blvd &amp; Orange Av</t>
  </si>
  <si>
    <t>Orange Ave &amp; Ella Grasso Blvd</t>
  </si>
  <si>
    <t>Orange Ave &amp; Opp Dunkin Donuts</t>
  </si>
  <si>
    <t>Orange Ave &amp; Gilbert St</t>
  </si>
  <si>
    <t>Orange Ave &amp; Admiral St</t>
  </si>
  <si>
    <t>Orange Ave &amp; Forest Rd</t>
  </si>
  <si>
    <t>Orange Ave &amp; Pruden St</t>
  </si>
  <si>
    <t>Traffic signals</t>
  </si>
  <si>
    <t>Distance between busstops (Miles)</t>
  </si>
  <si>
    <t>N Frontage Rd &amp; College St</t>
  </si>
  <si>
    <t>Demand(Buses)</t>
  </si>
  <si>
    <t>Actual running buses</t>
  </si>
  <si>
    <t>Est.Ops cost(weekly)</t>
  </si>
  <si>
    <t>Buses</t>
  </si>
  <si>
    <t>Seats</t>
  </si>
  <si>
    <t>Transit Buses</t>
  </si>
  <si>
    <t>42(wheel chair tiedowns)</t>
  </si>
  <si>
    <t>seats</t>
  </si>
  <si>
    <t>44-45(without wheel chair)</t>
  </si>
  <si>
    <t>Useful life benchmark (ULB)</t>
  </si>
  <si>
    <t>12 years</t>
  </si>
  <si>
    <t>Total buses in transit in Connecticut state</t>
  </si>
  <si>
    <t>BUS STOP's</t>
  </si>
  <si>
    <t>hybrid diesel–electric (HDE) and conventional diesel (CD) buses</t>
  </si>
  <si>
    <t>Total Mileage(Miles)</t>
  </si>
  <si>
    <t>Avg Ops cost</t>
  </si>
  <si>
    <t>Center of Gravity</t>
  </si>
  <si>
    <t>location(latitude)</t>
  </si>
  <si>
    <t>location(longitute)</t>
  </si>
  <si>
    <t>Avg. daily Ridership</t>
  </si>
  <si>
    <t>Ticket Price</t>
  </si>
  <si>
    <t>Total Revenue per route</t>
  </si>
  <si>
    <t>Current(Buses)</t>
  </si>
  <si>
    <t>DownTown</t>
  </si>
  <si>
    <t>Destination</t>
  </si>
  <si>
    <t>Start Place</t>
  </si>
  <si>
    <t>Avg. Ticket Price</t>
  </si>
  <si>
    <t>Forecasted Ridership</t>
  </si>
  <si>
    <t>Ridership Growth</t>
  </si>
  <si>
    <t>Forecasting Ridership</t>
  </si>
  <si>
    <t>Location names</t>
  </si>
  <si>
    <t>location latitude</t>
  </si>
  <si>
    <t>location longitude</t>
  </si>
  <si>
    <t>location(lat)</t>
  </si>
  <si>
    <t>location(lon)</t>
  </si>
  <si>
    <t>Actual buses in Function</t>
  </si>
  <si>
    <t>Demand buses</t>
  </si>
  <si>
    <t xml:space="preserve"> </t>
  </si>
  <si>
    <t>Buses running between the two destinations per day</t>
  </si>
  <si>
    <t>Daily revenue(est.)</t>
  </si>
  <si>
    <t>Travel timing(Minutes)</t>
  </si>
  <si>
    <t>Center of gravity(Long)</t>
  </si>
  <si>
    <t>Center of gravity(Lat)</t>
  </si>
  <si>
    <t>OPTIMAL LOCATION FOR NEW BUS STOP</t>
  </si>
  <si>
    <t>New Bus Facility Hub optimal location</t>
  </si>
  <si>
    <t>Flow time In Minutes</t>
  </si>
  <si>
    <t>Optimal location for bus facility</t>
  </si>
  <si>
    <t>Miles</t>
  </si>
  <si>
    <t xml:space="preserve"> 77 Sylvan Ave, New Haven</t>
  </si>
  <si>
    <t>33 Sylvan Ave, New Haven</t>
  </si>
  <si>
    <t>Optimal bus stop location For first three busstops</t>
  </si>
  <si>
    <t>Optimal bus stop location For Last three busstops</t>
  </si>
  <si>
    <t>9 Greenwood St, New Haven</t>
  </si>
  <si>
    <t>Calculating using little's law</t>
  </si>
  <si>
    <t>Useful life benchmark (ULB) defines an asset’s economic useful life, specified in terms of age, mileage and/or other factors.</t>
  </si>
  <si>
    <t>An agency can use FTA’s default ULB values or set its own values. CTDOT has worked with its transit service provider partners to define custom values.</t>
  </si>
  <si>
    <t>Average waiting time</t>
  </si>
  <si>
    <t>Avg. No.of buses</t>
  </si>
  <si>
    <t>Arrival rate(bus/hour)</t>
  </si>
  <si>
    <t>Demand passengers</t>
  </si>
  <si>
    <t>Months</t>
  </si>
  <si>
    <t>Forecast(Demand passengers)</t>
  </si>
  <si>
    <t>Lower Confidence Bound(Demand passengers)</t>
  </si>
  <si>
    <t>Upper Confidence Bound(Demand passengers)</t>
  </si>
  <si>
    <t>Time in system(Hours)</t>
  </si>
  <si>
    <t>Operational Expense</t>
  </si>
  <si>
    <t>Bus Transit travel data from Downtown, New Haven, CT to University of New Haven, Boston Post Rd, West Haven, CT</t>
  </si>
  <si>
    <t>Finding the optimal bus stop location can help in reducing the waiting time for the buses.</t>
  </si>
  <si>
    <t>Finding optimal location for bus facility hub in time of breakdowns and maintenances</t>
  </si>
  <si>
    <t>Based on the passenger demand data set from jan 22 to sept 2023, the forecasting technique helps in predicting the possible demand for the coming months in three different possibilities i.e., lower confidence, upper confidence, and forecast</t>
  </si>
  <si>
    <t>Total buses in System(Est)</t>
  </si>
  <si>
    <t>NOTE: THE DATA SET VALUES USED IS AN ESTIMATION AND ARE NOT ACCURATE OR REAL.</t>
  </si>
  <si>
    <t>Work in process(WIP)</t>
  </si>
  <si>
    <t>Avg.Ridership per hour(λ)</t>
  </si>
  <si>
    <t>Flow time In Hours(W)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</si>
</sst>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quot;$&quot;#,##0.00"/>
    <numFmt numFmtId="165" formatCode="[$-F400]h:mm:ss\ AM/PM"/>
    <numFmt numFmtId="166" formatCode="0.0000000"/>
    <numFmt numFmtId="167" formatCode="0.00000000000"/>
  </numFmts>
  <fonts count="8" x14ac:knownFonts="1">
    <font>
      <sz val="11"/>
      <color theme="1"/>
      <name val="Calibri"/>
      <family val="2"/>
      <scheme val="minor"/>
    </font>
    <font>
      <sz val="11"/>
      <color theme="1"/>
      <name val="Calibri"/>
      <family val="2"/>
      <scheme val="minor"/>
    </font>
    <font>
      <sz val="8"/>
      <name val="Calibri"/>
      <family val="2"/>
      <scheme val="minor"/>
    </font>
    <font>
      <sz val="12"/>
      <color theme="1"/>
      <name val="Times New Roman"/>
      <family val="1"/>
    </font>
    <font>
      <sz val="12"/>
      <color rgb="FF202124"/>
      <name val="Times New Roman"/>
      <family val="1"/>
    </font>
    <font>
      <sz val="12"/>
      <color rgb="FF333333"/>
      <name val="Times New Roman"/>
      <family val="1"/>
    </font>
    <font>
      <b/>
      <sz val="12"/>
      <color theme="1"/>
      <name val="Times New Roman"/>
      <family val="1"/>
    </font>
    <font>
      <sz val="12"/>
      <color rgb="FF374151"/>
      <name val="Times New Roman"/>
      <family val="1"/>
    </font>
  </fonts>
  <fills count="5">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rgb="FFFFC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48">
    <xf numFmtId="0" fontId="0" fillId="0" borderId="0" xfId="0"/>
    <xf numFmtId="2" fontId="0" fillId="0" borderId="0" xfId="0" applyNumberFormat="1"/>
    <xf numFmtId="1" fontId="3" fillId="0" borderId="0" xfId="0" applyNumberFormat="1" applyFont="1"/>
    <xf numFmtId="165" fontId="3" fillId="0" borderId="0" xfId="0" applyNumberFormat="1" applyFont="1"/>
    <xf numFmtId="164" fontId="3" fillId="0" borderId="0" xfId="0" applyNumberFormat="1" applyFont="1"/>
    <xf numFmtId="166" fontId="3" fillId="0" borderId="0" xfId="0" applyNumberFormat="1" applyFont="1"/>
    <xf numFmtId="0" fontId="3" fillId="0" borderId="0" xfId="0" applyFont="1"/>
    <xf numFmtId="2" fontId="3" fillId="0" borderId="0" xfId="1" applyNumberFormat="1" applyFont="1" applyAlignment="1"/>
    <xf numFmtId="1" fontId="3" fillId="0" borderId="0" xfId="1" applyNumberFormat="1" applyFont="1" applyAlignment="1"/>
    <xf numFmtId="0" fontId="3" fillId="0" borderId="1" xfId="0" applyFont="1" applyBorder="1"/>
    <xf numFmtId="2" fontId="3" fillId="0" borderId="1" xfId="1" applyNumberFormat="1" applyFont="1" applyBorder="1" applyAlignment="1"/>
    <xf numFmtId="1" fontId="3" fillId="0" borderId="1" xfId="1" applyNumberFormat="1" applyFont="1" applyBorder="1" applyAlignment="1"/>
    <xf numFmtId="1" fontId="3" fillId="0" borderId="1" xfId="0" applyNumberFormat="1" applyFont="1" applyBorder="1"/>
    <xf numFmtId="2" fontId="3" fillId="0" borderId="1" xfId="0" applyNumberFormat="1" applyFont="1" applyBorder="1"/>
    <xf numFmtId="164" fontId="3" fillId="0" borderId="1" xfId="0" applyNumberFormat="1" applyFont="1" applyBorder="1"/>
    <xf numFmtId="166" fontId="3" fillId="0" borderId="1" xfId="0" applyNumberFormat="1" applyFont="1" applyBorder="1"/>
    <xf numFmtId="0" fontId="4" fillId="0" borderId="1" xfId="0" applyFont="1" applyBorder="1"/>
    <xf numFmtId="0" fontId="4" fillId="0" borderId="1" xfId="0" applyFont="1" applyBorder="1" applyAlignment="1">
      <alignment horizontal="left"/>
    </xf>
    <xf numFmtId="165" fontId="3" fillId="0" borderId="1" xfId="0" applyNumberFormat="1" applyFont="1" applyBorder="1"/>
    <xf numFmtId="167" fontId="3" fillId="0" borderId="1" xfId="1" applyNumberFormat="1" applyFont="1" applyBorder="1" applyAlignment="1"/>
    <xf numFmtId="0" fontId="3" fillId="3" borderId="1" xfId="0" applyFont="1" applyFill="1" applyBorder="1"/>
    <xf numFmtId="0" fontId="4" fillId="0" borderId="0" xfId="0" applyFont="1"/>
    <xf numFmtId="1" fontId="3" fillId="3" borderId="1" xfId="0" applyNumberFormat="1" applyFont="1" applyFill="1" applyBorder="1"/>
    <xf numFmtId="166" fontId="3" fillId="3" borderId="1" xfId="0" applyNumberFormat="1" applyFont="1" applyFill="1" applyBorder="1"/>
    <xf numFmtId="44" fontId="3" fillId="0" borderId="1" xfId="2" applyFont="1" applyFill="1" applyBorder="1"/>
    <xf numFmtId="44" fontId="3" fillId="0" borderId="1" xfId="2" applyFont="1" applyBorder="1"/>
    <xf numFmtId="44" fontId="3" fillId="0" borderId="1" xfId="0" applyNumberFormat="1" applyFont="1" applyBorder="1"/>
    <xf numFmtId="44" fontId="3" fillId="0" borderId="0" xfId="0" applyNumberFormat="1" applyFont="1"/>
    <xf numFmtId="167" fontId="3" fillId="0" borderId="0" xfId="1" applyNumberFormat="1" applyFont="1" applyAlignment="1"/>
    <xf numFmtId="0" fontId="7" fillId="0" borderId="0" xfId="0" applyFont="1"/>
    <xf numFmtId="9" fontId="3" fillId="0" borderId="1" xfId="3" applyFont="1" applyBorder="1"/>
    <xf numFmtId="17" fontId="0" fillId="0" borderId="0" xfId="0" applyNumberFormat="1"/>
    <xf numFmtId="17" fontId="3" fillId="0" borderId="1" xfId="0" applyNumberFormat="1" applyFont="1" applyBorder="1"/>
    <xf numFmtId="165" fontId="3" fillId="2" borderId="1" xfId="0" applyNumberFormat="1" applyFont="1" applyFill="1" applyBorder="1"/>
    <xf numFmtId="2" fontId="3" fillId="3" borderId="1" xfId="1" applyNumberFormat="1" applyFont="1" applyFill="1" applyBorder="1" applyAlignment="1"/>
    <xf numFmtId="1" fontId="3" fillId="3" borderId="1" xfId="1" applyNumberFormat="1" applyFont="1" applyFill="1" applyBorder="1" applyAlignment="1"/>
    <xf numFmtId="165" fontId="3" fillId="3" borderId="1" xfId="0" applyNumberFormat="1" applyFont="1" applyFill="1" applyBorder="1"/>
    <xf numFmtId="164" fontId="3" fillId="3" borderId="1" xfId="0" applyNumberFormat="1" applyFont="1" applyFill="1" applyBorder="1"/>
    <xf numFmtId="0" fontId="5" fillId="2" borderId="0" xfId="0" applyFont="1" applyFill="1" applyAlignment="1">
      <alignment horizontal="center"/>
    </xf>
    <xf numFmtId="0" fontId="3" fillId="2" borderId="0" xfId="0" applyFont="1" applyFill="1" applyAlignment="1">
      <alignment horizontal="center"/>
    </xf>
    <xf numFmtId="0" fontId="3" fillId="2" borderId="1" xfId="0" applyFont="1" applyFill="1" applyBorder="1" applyAlignment="1">
      <alignment horizontal="center"/>
    </xf>
    <xf numFmtId="0" fontId="3" fillId="0" borderId="1" xfId="0" applyFont="1" applyBorder="1" applyAlignment="1">
      <alignment horizontal="center"/>
    </xf>
    <xf numFmtId="0" fontId="3" fillId="4" borderId="0" xfId="0" applyFont="1" applyFill="1" applyAlignment="1">
      <alignment horizontal="center"/>
    </xf>
    <xf numFmtId="0" fontId="6" fillId="2" borderId="0" xfId="0" applyFont="1" applyFill="1" applyAlignment="1">
      <alignment horizontal="center"/>
    </xf>
    <xf numFmtId="0" fontId="0" fillId="0" borderId="0" xfId="0" applyAlignment="1">
      <alignment horizontal="center"/>
    </xf>
    <xf numFmtId="0" fontId="0" fillId="2" borderId="0" xfId="0" applyFill="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cellXfs>
  <cellStyles count="4">
    <cellStyle name="Comma" xfId="1" builtinId="3"/>
    <cellStyle name="Currency" xfId="2" builtinId="4"/>
    <cellStyle name="Normal" xfId="0" builtinId="0"/>
    <cellStyle name="Percent" xfId="3" builtinId="5"/>
  </cellStyles>
  <dxfs count="3">
    <dxf>
      <numFmt numFmtId="2" formatCode="0.00"/>
    </dxf>
    <dxf>
      <numFmt numFmtId="2" formatCode="0.00"/>
    </dxf>
    <dxf>
      <numFmt numFmtId="22" formatCode="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'Passenger Demand forecasting'!$B$1</c:f>
              <c:strCache>
                <c:ptCount val="1"/>
                <c:pt idx="0">
                  <c:v>Demand passengers</c:v>
                </c:pt>
              </c:strCache>
            </c:strRef>
          </c:tx>
          <c:spPr>
            <a:ln w="28575" cap="rnd">
              <a:solidFill>
                <a:schemeClr val="accent1"/>
              </a:solidFill>
              <a:round/>
            </a:ln>
            <a:effectLst/>
          </c:spPr>
          <c:marker>
            <c:symbol val="none"/>
          </c:marker>
          <c:val>
            <c:numRef>
              <c:f>'Passenger Demand forecasting'!$B$2:$B$28</c:f>
              <c:numCache>
                <c:formatCode>General</c:formatCode>
                <c:ptCount val="27"/>
                <c:pt idx="0">
                  <c:v>900</c:v>
                </c:pt>
                <c:pt idx="1">
                  <c:v>650</c:v>
                </c:pt>
                <c:pt idx="2">
                  <c:v>700</c:v>
                </c:pt>
                <c:pt idx="3">
                  <c:v>450</c:v>
                </c:pt>
                <c:pt idx="4">
                  <c:v>670</c:v>
                </c:pt>
                <c:pt idx="5">
                  <c:v>600</c:v>
                </c:pt>
                <c:pt idx="6">
                  <c:v>560</c:v>
                </c:pt>
                <c:pt idx="7">
                  <c:v>780</c:v>
                </c:pt>
                <c:pt idx="8">
                  <c:v>540</c:v>
                </c:pt>
                <c:pt idx="9">
                  <c:v>800</c:v>
                </c:pt>
                <c:pt idx="10">
                  <c:v>600</c:v>
                </c:pt>
                <c:pt idx="11">
                  <c:v>550</c:v>
                </c:pt>
                <c:pt idx="12">
                  <c:v>700</c:v>
                </c:pt>
                <c:pt idx="13">
                  <c:v>870</c:v>
                </c:pt>
                <c:pt idx="14">
                  <c:v>567</c:v>
                </c:pt>
                <c:pt idx="15">
                  <c:v>457</c:v>
                </c:pt>
                <c:pt idx="16">
                  <c:v>665</c:v>
                </c:pt>
                <c:pt idx="17">
                  <c:v>756</c:v>
                </c:pt>
                <c:pt idx="18">
                  <c:v>534</c:v>
                </c:pt>
                <c:pt idx="19">
                  <c:v>657</c:v>
                </c:pt>
                <c:pt idx="20">
                  <c:v>745</c:v>
                </c:pt>
              </c:numCache>
            </c:numRef>
          </c:val>
          <c:smooth val="0"/>
          <c:extLst>
            <c:ext xmlns:c16="http://schemas.microsoft.com/office/drawing/2014/chart" uri="{C3380CC4-5D6E-409C-BE32-E72D297353CC}">
              <c16:uniqueId val="{00000000-81CF-430C-9363-6565AE4CEB89}"/>
            </c:ext>
          </c:extLst>
        </c:ser>
        <c:ser>
          <c:idx val="1"/>
          <c:order val="1"/>
          <c:tx>
            <c:strRef>
              <c:f>'Passenger Demand forecasting'!$C$1</c:f>
              <c:strCache>
                <c:ptCount val="1"/>
                <c:pt idx="0">
                  <c:v>Forecast(Demand passengers)</c:v>
                </c:pt>
              </c:strCache>
            </c:strRef>
          </c:tx>
          <c:spPr>
            <a:ln w="25400" cap="rnd">
              <a:solidFill>
                <a:schemeClr val="accent2"/>
              </a:solidFill>
              <a:round/>
            </a:ln>
            <a:effectLst/>
          </c:spPr>
          <c:marker>
            <c:symbol val="none"/>
          </c:marker>
          <c:cat>
            <c:numRef>
              <c:f>'Passenger Demand forecasting'!$A$2:$A$28</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'Passenger Demand forecasting'!$C$2:$C$28</c:f>
              <c:numCache>
                <c:formatCode>General</c:formatCode>
                <c:ptCount val="27"/>
                <c:pt idx="20">
                  <c:v>745</c:v>
                </c:pt>
                <c:pt idx="21">
                  <c:v>685.48554868444717</c:v>
                </c:pt>
                <c:pt idx="22">
                  <c:v>683.76855045317438</c:v>
                </c:pt>
                <c:pt idx="23">
                  <c:v>682.05155222190149</c:v>
                </c:pt>
                <c:pt idx="24">
                  <c:v>680.33455399062871</c:v>
                </c:pt>
                <c:pt idx="25">
                  <c:v>678.61755575935592</c:v>
                </c:pt>
                <c:pt idx="26">
                  <c:v>676.90055752808314</c:v>
                </c:pt>
              </c:numCache>
            </c:numRef>
          </c:val>
          <c:smooth val="0"/>
          <c:extLst>
            <c:ext xmlns:c16="http://schemas.microsoft.com/office/drawing/2014/chart" uri="{C3380CC4-5D6E-409C-BE32-E72D297353CC}">
              <c16:uniqueId val="{00000001-81CF-430C-9363-6565AE4CEB89}"/>
            </c:ext>
          </c:extLst>
        </c:ser>
        <c:ser>
          <c:idx val="2"/>
          <c:order val="2"/>
          <c:tx>
            <c:strRef>
              <c:f>'Passenger Demand forecasting'!$D$1</c:f>
              <c:strCache>
                <c:ptCount val="1"/>
                <c:pt idx="0">
                  <c:v>Lower Confidence Bound(Demand passengers)</c:v>
                </c:pt>
              </c:strCache>
            </c:strRef>
          </c:tx>
          <c:spPr>
            <a:ln w="12700" cap="rnd">
              <a:solidFill>
                <a:srgbClr val="ED7D31"/>
              </a:solidFill>
              <a:prstDash val="solid"/>
              <a:round/>
            </a:ln>
            <a:effectLst/>
          </c:spPr>
          <c:marker>
            <c:symbol val="none"/>
          </c:marker>
          <c:cat>
            <c:numRef>
              <c:f>'Passenger Demand forecasting'!$A$2:$A$28</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'Passenger Demand forecasting'!$D$2:$D$28</c:f>
              <c:numCache>
                <c:formatCode>General</c:formatCode>
                <c:ptCount val="27"/>
                <c:pt idx="20" formatCode="0.00">
                  <c:v>745</c:v>
                </c:pt>
                <c:pt idx="21" formatCode="0.00">
                  <c:v>388.66486789661707</c:v>
                </c:pt>
                <c:pt idx="22" formatCode="0.00">
                  <c:v>351.78009237330593</c:v>
                </c:pt>
                <c:pt idx="23" formatCode="0.00">
                  <c:v>318.15799240359524</c:v>
                </c:pt>
                <c:pt idx="24" formatCode="0.00">
                  <c:v>287.00358332424969</c:v>
                </c:pt>
                <c:pt idx="25" formatCode="0.00">
                  <c:v>257.79847191496594</c:v>
                </c:pt>
                <c:pt idx="26" formatCode="0.00">
                  <c:v>230.18247460653873</c:v>
                </c:pt>
              </c:numCache>
            </c:numRef>
          </c:val>
          <c:smooth val="0"/>
          <c:extLst>
            <c:ext xmlns:c16="http://schemas.microsoft.com/office/drawing/2014/chart" uri="{C3380CC4-5D6E-409C-BE32-E72D297353CC}">
              <c16:uniqueId val="{00000002-81CF-430C-9363-6565AE4CEB89}"/>
            </c:ext>
          </c:extLst>
        </c:ser>
        <c:ser>
          <c:idx val="3"/>
          <c:order val="3"/>
          <c:tx>
            <c:strRef>
              <c:f>'Passenger Demand forecasting'!$E$1</c:f>
              <c:strCache>
                <c:ptCount val="1"/>
                <c:pt idx="0">
                  <c:v>Upper Confidence Bound(Demand passengers)</c:v>
                </c:pt>
              </c:strCache>
            </c:strRef>
          </c:tx>
          <c:spPr>
            <a:ln w="12700" cap="rnd">
              <a:solidFill>
                <a:srgbClr val="ED7D31"/>
              </a:solidFill>
              <a:prstDash val="solid"/>
              <a:round/>
            </a:ln>
            <a:effectLst/>
          </c:spPr>
          <c:marker>
            <c:symbol val="none"/>
          </c:marker>
          <c:cat>
            <c:numRef>
              <c:f>'Passenger Demand forecasting'!$A$2:$A$28</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'Passenger Demand forecasting'!$E$2:$E$28</c:f>
              <c:numCache>
                <c:formatCode>General</c:formatCode>
                <c:ptCount val="27"/>
                <c:pt idx="20" formatCode="0.00">
                  <c:v>745</c:v>
                </c:pt>
                <c:pt idx="21" formatCode="0.00">
                  <c:v>982.30622947227721</c:v>
                </c:pt>
                <c:pt idx="22" formatCode="0.00">
                  <c:v>1015.7570085330428</c:v>
                </c:pt>
                <c:pt idx="23" formatCode="0.00">
                  <c:v>1045.9451120402077</c:v>
                </c:pt>
                <c:pt idx="24" formatCode="0.00">
                  <c:v>1073.6655246570076</c:v>
                </c:pt>
                <c:pt idx="25" formatCode="0.00">
                  <c:v>1099.4366396037458</c:v>
                </c:pt>
                <c:pt idx="26" formatCode="0.00">
                  <c:v>1123.6186404496275</c:v>
                </c:pt>
              </c:numCache>
            </c:numRef>
          </c:val>
          <c:smooth val="0"/>
          <c:extLst>
            <c:ext xmlns:c16="http://schemas.microsoft.com/office/drawing/2014/chart" uri="{C3380CC4-5D6E-409C-BE32-E72D297353CC}">
              <c16:uniqueId val="{00000003-81CF-430C-9363-6565AE4CEB89}"/>
            </c:ext>
          </c:extLst>
        </c:ser>
        <c:dLbls>
          <c:showLegendKey val="0"/>
          <c:showVal val="0"/>
          <c:showCatName val="0"/>
          <c:showSerName val="0"/>
          <c:showPercent val="0"/>
          <c:showBubbleSize val="0"/>
        </c:dLbls>
        <c:smooth val="0"/>
        <c:axId val="125664976"/>
        <c:axId val="153244848"/>
      </c:lineChart>
      <c:catAx>
        <c:axId val="125664976"/>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44848"/>
        <c:crosses val="autoZero"/>
        <c:auto val="1"/>
        <c:lblAlgn val="ctr"/>
        <c:lblOffset val="100"/>
        <c:noMultiLvlLbl val="0"/>
      </c:catAx>
      <c:valAx>
        <c:axId val="1532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64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0</xdr:colOff>
      <xdr:row>4</xdr:row>
      <xdr:rowOff>0</xdr:rowOff>
    </xdr:from>
    <xdr:to>
      <xdr:col>21</xdr:col>
      <xdr:colOff>587075</xdr:colOff>
      <xdr:row>30</xdr:row>
      <xdr:rowOff>0</xdr:rowOff>
    </xdr:to>
    <xdr:graphicFrame macro="">
      <xdr:nvGraphicFramePr>
        <xdr:cNvPr id="2" name="Chart 1">
          <a:extLst>
            <a:ext uri="{FF2B5EF4-FFF2-40B4-BE49-F238E27FC236}">
              <a16:creationId xmlns:a16="http://schemas.microsoft.com/office/drawing/2014/main" id="{81AA355B-1FF6-2156-045B-FE1B9EF576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51C660-6AB8-44B2-94A9-C92B8604581A}" name="Table2" displayName="Table2" ref="A1:E28" totalsRowShown="0">
  <autoFilter ref="A1:E28" xr:uid="{0D51C660-6AB8-44B2-94A9-C92B8604581A}"/>
  <tableColumns count="5">
    <tableColumn id="1" xr3:uid="{AE2237A8-D665-40AD-8149-5B1B2F73719E}" name="Months" dataDxfId="2"/>
    <tableColumn id="2" xr3:uid="{DA423CC2-6898-4CDA-8DDA-6AE0CD60D32C}" name="Demand passengers"/>
    <tableColumn id="3" xr3:uid="{DEA61204-0A04-4B68-8CD7-7D18E743CD39}" name="Forecast(Demand passengers)">
      <calculatedColumnFormula>_xlfn.FORECAST.ETS(A2,$B$2:$B$22,$A$2:$A$22,1,1)</calculatedColumnFormula>
    </tableColumn>
    <tableColumn id="4" xr3:uid="{90F6F275-D559-47B2-B354-11256D460CEC}" name="Lower Confidence Bound(Demand passengers)" dataDxfId="1">
      <calculatedColumnFormula>C2-_xlfn.FORECAST.ETS.CONFINT(A2,$B$2:$B$22,$A$2:$A$22,0.95,1,1)</calculatedColumnFormula>
    </tableColumn>
    <tableColumn id="5" xr3:uid="{A3243F78-8C6D-4A5C-A8BD-8B7F874B0374}" name="Upper Confidence Bound(Demand passengers)" dataDxfId="0">
      <calculatedColumnFormula>C2+_xlfn.FORECAST.ETS.CONFINT(A2,$B$2:$B$22,$A$2:$A$22,0.95,1,1)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6"/>
  <sheetViews>
    <sheetView zoomScale="42" zoomScaleNormal="42" workbookViewId="0">
      <selection activeCell="L24" sqref="L24"/>
    </sheetView>
  </sheetViews>
  <sheetFormatPr defaultRowHeight="15.5" x14ac:dyDescent="0.35"/>
  <cols>
    <col min="1" max="1" width="34.453125" style="6" customWidth="1"/>
    <col min="2" max="2" width="42.26953125" style="7" bestFit="1" customWidth="1"/>
    <col min="3" max="3" width="29.1796875" style="8" customWidth="1"/>
    <col min="4" max="4" width="24.1796875" style="2" bestFit="1" customWidth="1"/>
    <col min="5" max="5" width="19.81640625" style="3" bestFit="1" customWidth="1"/>
    <col min="6" max="6" width="18.08984375" style="4" bestFit="1" customWidth="1"/>
    <col min="7" max="7" width="14.1796875" style="5" bestFit="1" customWidth="1"/>
    <col min="8" max="8" width="14.1796875" style="6" bestFit="1" customWidth="1"/>
    <col min="9" max="9" width="18.08984375" style="6" bestFit="1" customWidth="1"/>
    <col min="10" max="12" width="8.7265625" style="6"/>
    <col min="13" max="13" width="13.26953125" style="6" bestFit="1" customWidth="1"/>
    <col min="14" max="16" width="8.7265625" style="6"/>
    <col min="17" max="17" width="11.81640625" style="6" bestFit="1" customWidth="1"/>
    <col min="18" max="18" width="22.08984375" style="6" bestFit="1" customWidth="1"/>
    <col min="19" max="19" width="23.7265625" style="6" bestFit="1" customWidth="1"/>
    <col min="20" max="20" width="24.1796875" style="6" bestFit="1" customWidth="1"/>
    <col min="21" max="21" width="18" style="6" bestFit="1" customWidth="1"/>
    <col min="22" max="16384" width="8.7265625" style="6"/>
  </cols>
  <sheetData>
    <row r="1" spans="1:20" x14ac:dyDescent="0.35">
      <c r="A1" s="39" t="s">
        <v>89</v>
      </c>
      <c r="B1" s="39"/>
      <c r="C1" s="39"/>
    </row>
    <row r="3" spans="1:20" x14ac:dyDescent="0.35">
      <c r="A3" s="20" t="s">
        <v>35</v>
      </c>
      <c r="B3" s="34" t="s">
        <v>21</v>
      </c>
      <c r="C3" s="35" t="s">
        <v>24</v>
      </c>
      <c r="D3" s="22" t="s">
        <v>23</v>
      </c>
      <c r="E3" s="36" t="s">
        <v>63</v>
      </c>
      <c r="F3" s="37" t="s">
        <v>25</v>
      </c>
      <c r="G3" s="23" t="s">
        <v>56</v>
      </c>
      <c r="H3" s="20" t="s">
        <v>57</v>
      </c>
      <c r="I3" s="20" t="s">
        <v>37</v>
      </c>
      <c r="M3" s="9" t="s">
        <v>20</v>
      </c>
      <c r="N3" s="9">
        <v>26</v>
      </c>
      <c r="Q3" s="9" t="s">
        <v>26</v>
      </c>
      <c r="R3" s="10" t="s">
        <v>27</v>
      </c>
      <c r="S3" s="11" t="s">
        <v>30</v>
      </c>
      <c r="T3" s="9" t="s">
        <v>32</v>
      </c>
    </row>
    <row r="4" spans="1:20" x14ac:dyDescent="0.35">
      <c r="A4" s="9" t="s">
        <v>0</v>
      </c>
      <c r="B4" s="10">
        <v>0.2</v>
      </c>
      <c r="C4" s="11">
        <v>24</v>
      </c>
      <c r="D4" s="12">
        <v>50</v>
      </c>
      <c r="E4" s="13">
        <v>2</v>
      </c>
      <c r="F4" s="14">
        <v>500</v>
      </c>
      <c r="G4" s="15">
        <v>41.307270872202501</v>
      </c>
      <c r="H4" s="9">
        <v>-72.926757348273</v>
      </c>
      <c r="I4" s="13">
        <f>C4*B4</f>
        <v>4.8000000000000007</v>
      </c>
      <c r="Q4" s="9" t="s">
        <v>28</v>
      </c>
      <c r="R4" s="10" t="s">
        <v>29</v>
      </c>
      <c r="S4" s="11" t="s">
        <v>31</v>
      </c>
      <c r="T4" s="12" t="s">
        <v>33</v>
      </c>
    </row>
    <row r="5" spans="1:20" x14ac:dyDescent="0.35">
      <c r="A5" s="9" t="s">
        <v>1</v>
      </c>
      <c r="B5" s="10">
        <v>0.1</v>
      </c>
      <c r="C5" s="11">
        <v>24</v>
      </c>
      <c r="D5" s="12">
        <v>50</v>
      </c>
      <c r="E5" s="13">
        <v>1</v>
      </c>
      <c r="F5" s="14">
        <v>450</v>
      </c>
      <c r="G5" s="15">
        <v>41.305278388102202</v>
      </c>
      <c r="H5" s="9">
        <v>-72.928087640220397</v>
      </c>
      <c r="I5" s="13">
        <f t="shared" ref="I5:I24" si="0">C5*B5</f>
        <v>2.4000000000000004</v>
      </c>
    </row>
    <row r="6" spans="1:20" x14ac:dyDescent="0.35">
      <c r="A6" s="16" t="s">
        <v>22</v>
      </c>
      <c r="B6" s="10">
        <v>0.3</v>
      </c>
      <c r="C6" s="11">
        <v>24</v>
      </c>
      <c r="D6" s="12">
        <v>50</v>
      </c>
      <c r="E6" s="13">
        <v>3</v>
      </c>
      <c r="F6" s="14">
        <v>425</v>
      </c>
      <c r="G6" s="15">
        <v>41.3046238444214</v>
      </c>
      <c r="H6" s="9">
        <v>-72.931258103708501</v>
      </c>
      <c r="I6" s="13">
        <f t="shared" si="0"/>
        <v>7.1999999999999993</v>
      </c>
    </row>
    <row r="7" spans="1:20" x14ac:dyDescent="0.35">
      <c r="A7" s="16" t="s">
        <v>2</v>
      </c>
      <c r="B7" s="10">
        <v>0.2</v>
      </c>
      <c r="C7" s="11">
        <v>24</v>
      </c>
      <c r="D7" s="12">
        <v>50</v>
      </c>
      <c r="E7" s="13">
        <v>2</v>
      </c>
      <c r="F7" s="14">
        <v>365</v>
      </c>
      <c r="G7" s="15">
        <v>41.305827515637802</v>
      </c>
      <c r="H7" s="9">
        <v>-72.934095014042398</v>
      </c>
      <c r="I7" s="13">
        <f t="shared" si="0"/>
        <v>4.8000000000000007</v>
      </c>
    </row>
    <row r="8" spans="1:20" x14ac:dyDescent="0.35">
      <c r="A8" s="16" t="s">
        <v>3</v>
      </c>
      <c r="B8" s="10">
        <v>0.2</v>
      </c>
      <c r="C8" s="11">
        <v>24</v>
      </c>
      <c r="D8" s="12">
        <v>50</v>
      </c>
      <c r="E8" s="13">
        <v>2</v>
      </c>
      <c r="F8" s="14">
        <v>600</v>
      </c>
      <c r="G8" s="15">
        <v>41.305552645927797</v>
      </c>
      <c r="H8" s="9">
        <v>-72.936181843825096</v>
      </c>
      <c r="I8" s="13">
        <f t="shared" si="0"/>
        <v>4.8000000000000007</v>
      </c>
    </row>
    <row r="9" spans="1:20" x14ac:dyDescent="0.35">
      <c r="A9" s="16" t="s">
        <v>4</v>
      </c>
      <c r="B9" s="10">
        <v>0.1</v>
      </c>
      <c r="C9" s="11">
        <v>24</v>
      </c>
      <c r="D9" s="12">
        <v>50</v>
      </c>
      <c r="E9" s="13">
        <v>1</v>
      </c>
      <c r="F9" s="14">
        <v>325</v>
      </c>
      <c r="G9" s="15">
        <v>41.304997162840699</v>
      </c>
      <c r="H9" s="9">
        <v>-72.937143034205803</v>
      </c>
      <c r="I9" s="13">
        <f t="shared" si="0"/>
        <v>2.4000000000000004</v>
      </c>
    </row>
    <row r="10" spans="1:20" x14ac:dyDescent="0.35">
      <c r="A10" s="16" t="s">
        <v>5</v>
      </c>
      <c r="B10" s="10">
        <v>7.9545500000000005E-2</v>
      </c>
      <c r="C10" s="11">
        <v>24</v>
      </c>
      <c r="D10" s="12">
        <v>50</v>
      </c>
      <c r="E10" s="13">
        <v>0.5</v>
      </c>
      <c r="F10" s="14">
        <v>440</v>
      </c>
      <c r="G10" s="15">
        <v>41.304954152770101</v>
      </c>
      <c r="H10" s="9">
        <v>-72.938504709631204</v>
      </c>
      <c r="I10" s="13">
        <f t="shared" si="0"/>
        <v>1.9090920000000002</v>
      </c>
    </row>
    <row r="11" spans="1:20" x14ac:dyDescent="0.35">
      <c r="A11" s="16" t="s">
        <v>6</v>
      </c>
      <c r="B11" s="10">
        <v>5.2272699999999998E-2</v>
      </c>
      <c r="C11" s="11">
        <v>24</v>
      </c>
      <c r="D11" s="12">
        <v>50</v>
      </c>
      <c r="E11" s="13">
        <v>0.3</v>
      </c>
      <c r="F11" s="14">
        <v>450</v>
      </c>
      <c r="G11" s="15">
        <v>41.304845280853598</v>
      </c>
      <c r="H11" s="9">
        <v>-72.939296817548296</v>
      </c>
      <c r="I11" s="13">
        <f t="shared" si="0"/>
        <v>1.2545447999999999</v>
      </c>
    </row>
    <row r="12" spans="1:20" x14ac:dyDescent="0.35">
      <c r="A12" s="16" t="s">
        <v>7</v>
      </c>
      <c r="B12" s="10">
        <v>5.66288E-2</v>
      </c>
      <c r="C12" s="11">
        <v>24</v>
      </c>
      <c r="D12" s="12">
        <v>50</v>
      </c>
      <c r="E12" s="13">
        <v>0.2</v>
      </c>
      <c r="F12" s="14">
        <v>550</v>
      </c>
      <c r="G12" s="15">
        <v>41.3047176322479</v>
      </c>
      <c r="H12" s="9">
        <v>-72.940379776345097</v>
      </c>
      <c r="I12" s="13">
        <f t="shared" si="0"/>
        <v>1.3590911999999999</v>
      </c>
    </row>
    <row r="13" spans="1:20" x14ac:dyDescent="0.35">
      <c r="A13" s="16" t="s">
        <v>8</v>
      </c>
      <c r="B13" s="10">
        <v>0.1</v>
      </c>
      <c r="C13" s="11">
        <v>24</v>
      </c>
      <c r="D13" s="12">
        <v>50</v>
      </c>
      <c r="E13" s="13">
        <v>0.4</v>
      </c>
      <c r="F13" s="14">
        <v>375</v>
      </c>
      <c r="G13" s="15">
        <v>41.304452109779596</v>
      </c>
      <c r="H13" s="9">
        <v>-72.942692412606505</v>
      </c>
      <c r="I13" s="13">
        <f t="shared" si="0"/>
        <v>2.4000000000000004</v>
      </c>
    </row>
    <row r="14" spans="1:20" x14ac:dyDescent="0.35">
      <c r="A14" s="16" t="s">
        <v>9</v>
      </c>
      <c r="B14" s="10">
        <v>8.4469699999999995E-2</v>
      </c>
      <c r="C14" s="11">
        <v>24</v>
      </c>
      <c r="D14" s="12">
        <v>50</v>
      </c>
      <c r="E14" s="13">
        <v>0.1</v>
      </c>
      <c r="F14" s="14">
        <v>600</v>
      </c>
      <c r="G14" s="15">
        <v>41.304283314136597</v>
      </c>
      <c r="H14" s="9">
        <v>-72.944219284248604</v>
      </c>
      <c r="I14" s="13">
        <f t="shared" si="0"/>
        <v>2.0272728</v>
      </c>
    </row>
    <row r="15" spans="1:20" x14ac:dyDescent="0.35">
      <c r="A15" s="16" t="s">
        <v>10</v>
      </c>
      <c r="B15" s="10">
        <v>6.9507600000000003E-2</v>
      </c>
      <c r="C15" s="11">
        <v>24</v>
      </c>
      <c r="D15" s="12">
        <v>50</v>
      </c>
      <c r="E15" s="13">
        <v>0.15</v>
      </c>
      <c r="F15" s="14">
        <v>400</v>
      </c>
      <c r="G15" s="15">
        <v>41.304756536831697</v>
      </c>
      <c r="H15" s="9">
        <v>-72.945408581632606</v>
      </c>
      <c r="I15" s="13">
        <f t="shared" si="0"/>
        <v>1.6681824000000001</v>
      </c>
    </row>
    <row r="16" spans="1:20" x14ac:dyDescent="0.35">
      <c r="A16" s="16" t="s">
        <v>11</v>
      </c>
      <c r="B16" s="10">
        <v>0.2</v>
      </c>
      <c r="C16" s="11">
        <v>24</v>
      </c>
      <c r="D16" s="12">
        <v>50</v>
      </c>
      <c r="E16" s="13">
        <v>2</v>
      </c>
      <c r="F16" s="14">
        <v>550</v>
      </c>
      <c r="G16" s="15">
        <v>41.305880863370298</v>
      </c>
      <c r="H16" s="9">
        <v>-72.946715546966701</v>
      </c>
      <c r="I16" s="13">
        <f t="shared" si="0"/>
        <v>4.8000000000000007</v>
      </c>
    </row>
    <row r="17" spans="1:9" x14ac:dyDescent="0.35">
      <c r="A17" s="16" t="s">
        <v>12</v>
      </c>
      <c r="B17" s="10">
        <v>0.3</v>
      </c>
      <c r="C17" s="11">
        <v>24</v>
      </c>
      <c r="D17" s="12">
        <v>50</v>
      </c>
      <c r="E17" s="13">
        <v>3</v>
      </c>
      <c r="F17" s="14">
        <v>470</v>
      </c>
      <c r="G17" s="15">
        <v>41.305740458630702</v>
      </c>
      <c r="H17" s="9">
        <v>-72.952771089294998</v>
      </c>
      <c r="I17" s="13">
        <f t="shared" si="0"/>
        <v>7.1999999999999993</v>
      </c>
    </row>
    <row r="18" spans="1:9" x14ac:dyDescent="0.35">
      <c r="A18" s="16" t="s">
        <v>13</v>
      </c>
      <c r="B18" s="10">
        <v>0.56920643939000004</v>
      </c>
      <c r="C18" s="11">
        <v>24</v>
      </c>
      <c r="D18" s="12">
        <v>50</v>
      </c>
      <c r="E18" s="13">
        <v>5</v>
      </c>
      <c r="F18" s="14">
        <v>800</v>
      </c>
      <c r="G18" s="15">
        <v>41.297902361904498</v>
      </c>
      <c r="H18" s="9">
        <v>-72.949150902787906</v>
      </c>
      <c r="I18" s="13">
        <f t="shared" si="0"/>
        <v>13.660954545360001</v>
      </c>
    </row>
    <row r="19" spans="1:9" x14ac:dyDescent="0.35">
      <c r="A19" s="16" t="s">
        <v>14</v>
      </c>
      <c r="B19" s="10">
        <v>3.9772700000000001E-2</v>
      </c>
      <c r="C19" s="11">
        <v>24</v>
      </c>
      <c r="D19" s="12">
        <v>50</v>
      </c>
      <c r="E19" s="13">
        <v>0.15</v>
      </c>
      <c r="F19" s="14">
        <v>600</v>
      </c>
      <c r="G19" s="15">
        <v>41.297731483377802</v>
      </c>
      <c r="H19" s="9">
        <v>-72.949391462310501</v>
      </c>
      <c r="I19" s="13">
        <f t="shared" si="0"/>
        <v>0.95454480000000008</v>
      </c>
    </row>
    <row r="20" spans="1:9" x14ac:dyDescent="0.35">
      <c r="A20" s="16" t="s">
        <v>15</v>
      </c>
      <c r="B20" s="10">
        <v>0.1</v>
      </c>
      <c r="C20" s="11">
        <v>24</v>
      </c>
      <c r="D20" s="12">
        <v>50</v>
      </c>
      <c r="E20" s="13">
        <v>1</v>
      </c>
      <c r="F20" s="14">
        <v>744</v>
      </c>
      <c r="G20" s="15">
        <v>41.297464242100098</v>
      </c>
      <c r="H20" s="9">
        <v>-72.951694275803007</v>
      </c>
      <c r="I20" s="13">
        <f t="shared" si="0"/>
        <v>2.4000000000000004</v>
      </c>
    </row>
    <row r="21" spans="1:9" x14ac:dyDescent="0.35">
      <c r="A21" s="16" t="s">
        <v>16</v>
      </c>
      <c r="B21" s="10">
        <v>0.2</v>
      </c>
      <c r="C21" s="11">
        <v>24</v>
      </c>
      <c r="D21" s="12">
        <v>50</v>
      </c>
      <c r="E21" s="13">
        <v>2</v>
      </c>
      <c r="F21" s="14">
        <v>356</v>
      </c>
      <c r="G21" s="15">
        <v>41.296956546363297</v>
      </c>
      <c r="H21" s="9">
        <v>-72.955146275803003</v>
      </c>
      <c r="I21" s="13">
        <f t="shared" si="0"/>
        <v>4.8000000000000007</v>
      </c>
    </row>
    <row r="22" spans="1:9" x14ac:dyDescent="0.35">
      <c r="A22" s="16" t="s">
        <v>17</v>
      </c>
      <c r="B22" s="10">
        <v>0.1</v>
      </c>
      <c r="C22" s="11">
        <v>24</v>
      </c>
      <c r="D22" s="12">
        <v>50</v>
      </c>
      <c r="E22" s="13">
        <v>1</v>
      </c>
      <c r="F22" s="14">
        <v>678</v>
      </c>
      <c r="G22" s="15">
        <v>41.296060002962903</v>
      </c>
      <c r="H22" s="9">
        <v>-72.957530818131303</v>
      </c>
      <c r="I22" s="13">
        <f t="shared" si="0"/>
        <v>2.4000000000000004</v>
      </c>
    </row>
    <row r="23" spans="1:9" x14ac:dyDescent="0.35">
      <c r="A23" s="16" t="s">
        <v>18</v>
      </c>
      <c r="B23" s="10">
        <v>0.1</v>
      </c>
      <c r="C23" s="11">
        <v>24</v>
      </c>
      <c r="D23" s="12">
        <v>50</v>
      </c>
      <c r="E23" s="13">
        <v>1</v>
      </c>
      <c r="F23" s="14">
        <v>456</v>
      </c>
      <c r="G23" s="15">
        <v>41.2948228315107</v>
      </c>
      <c r="H23" s="9">
        <v>-72.959319933474902</v>
      </c>
      <c r="I23" s="13">
        <f t="shared" si="0"/>
        <v>2.4000000000000004</v>
      </c>
    </row>
    <row r="24" spans="1:9" x14ac:dyDescent="0.35">
      <c r="A24" s="17" t="s">
        <v>19</v>
      </c>
      <c r="B24" s="10">
        <v>0.21204545455000001</v>
      </c>
      <c r="C24" s="11">
        <v>24</v>
      </c>
      <c r="D24" s="12">
        <v>50</v>
      </c>
      <c r="E24" s="13">
        <v>2</v>
      </c>
      <c r="F24" s="14">
        <v>436</v>
      </c>
      <c r="G24" s="15">
        <v>41.292488193875698</v>
      </c>
      <c r="H24" s="9">
        <v>-72.961982733474997</v>
      </c>
      <c r="I24" s="13">
        <f t="shared" si="0"/>
        <v>5.0890909092000003</v>
      </c>
    </row>
    <row r="27" spans="1:9" x14ac:dyDescent="0.35">
      <c r="A27" s="38" t="s">
        <v>36</v>
      </c>
      <c r="B27" s="38"/>
    </row>
    <row r="29" spans="1:9" x14ac:dyDescent="0.35">
      <c r="E29" s="33" t="s">
        <v>88</v>
      </c>
    </row>
    <row r="30" spans="1:9" x14ac:dyDescent="0.35">
      <c r="B30" s="3" t="s">
        <v>34</v>
      </c>
      <c r="E30" s="18" t="s">
        <v>38</v>
      </c>
      <c r="F30" s="14">
        <f>AVERAGE(F4:F24)</f>
        <v>503.33333333333331</v>
      </c>
    </row>
    <row r="31" spans="1:9" x14ac:dyDescent="0.35">
      <c r="B31" s="2">
        <v>471</v>
      </c>
    </row>
    <row r="33" spans="1:3" x14ac:dyDescent="0.35">
      <c r="B33" s="7" t="s">
        <v>61</v>
      </c>
    </row>
    <row r="34" spans="1:3" x14ac:dyDescent="0.35">
      <c r="B34" s="8">
        <v>24</v>
      </c>
    </row>
    <row r="37" spans="1:3" x14ac:dyDescent="0.35">
      <c r="A37" s="40" t="s">
        <v>67</v>
      </c>
      <c r="B37" s="40"/>
    </row>
    <row r="39" spans="1:3" x14ac:dyDescent="0.35">
      <c r="B39" s="10" t="s">
        <v>39</v>
      </c>
      <c r="C39" s="19">
        <f>SUM(G4*D4+G5*D5+G6*D6+G7*D7+G8*D8+G9*D9+G10*D10+G11*D11+G12*D12+G13*D13+G14*D14+G15*D15+G16*D16+G17*D17+G18*D18+G19*D19+G20*D20+G21*D21+G22*D22+G23*D23+G24*D24+G25*D25)/SUM(D5:D25)</f>
        <v>43.367330321992405</v>
      </c>
    </row>
    <row r="40" spans="1:3" x14ac:dyDescent="0.35">
      <c r="B40" s="10" t="s">
        <v>39</v>
      </c>
      <c r="C40" s="19">
        <f>SUM(H4*D4+H5*D5+H6*D6+H7*D7+H8*D8+H9*D9+H10*D10+H11*D11+H12*D12+H13*D13+H14*D14+H15*D15+H16*D16+H17*D17+H18*D18+H19*D19+H20*D20+H21*D21+H22*D22+H23*D23+H24*D24+H25*D25+H26*D26)/SUM(D6:D26)</f>
        <v>-80.622511979175513</v>
      </c>
    </row>
    <row r="43" spans="1:3" x14ac:dyDescent="0.35">
      <c r="A43" s="6" t="s">
        <v>77</v>
      </c>
    </row>
    <row r="44" spans="1:3" x14ac:dyDescent="0.35">
      <c r="A44" s="6" t="s">
        <v>78</v>
      </c>
    </row>
    <row r="46" spans="1:3" x14ac:dyDescent="0.35">
      <c r="A46" s="6" t="s">
        <v>94</v>
      </c>
    </row>
  </sheetData>
  <mergeCells count="3">
    <mergeCell ref="A27:B27"/>
    <mergeCell ref="A1:C1"/>
    <mergeCell ref="A37:B37"/>
  </mergeCells>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406B4-917F-4A87-831E-57273E39EE06}">
  <dimension ref="C1:Q31"/>
  <sheetViews>
    <sheetView zoomScale="59" workbookViewId="0">
      <selection activeCell="C31" sqref="C31"/>
    </sheetView>
  </sheetViews>
  <sheetFormatPr defaultRowHeight="15.5" x14ac:dyDescent="0.35"/>
  <cols>
    <col min="1" max="2" width="8.7265625" style="6"/>
    <col min="3" max="3" width="24.26953125" style="6" bestFit="1" customWidth="1"/>
    <col min="4" max="4" width="26.08984375" style="6" bestFit="1" customWidth="1"/>
    <col min="5" max="5" width="15.81640625" style="6" bestFit="1" customWidth="1"/>
    <col min="6" max="6" width="21.1796875" style="6" bestFit="1" customWidth="1"/>
    <col min="7" max="7" width="13.26953125" style="6" bestFit="1" customWidth="1"/>
    <col min="8" max="9" width="22.08984375" style="6" bestFit="1" customWidth="1"/>
    <col min="10" max="10" width="8.7265625" style="6"/>
    <col min="11" max="12" width="8.7265625" style="6" customWidth="1"/>
    <col min="13" max="16384" width="8.7265625" style="6"/>
  </cols>
  <sheetData>
    <row r="1" spans="3:11" x14ac:dyDescent="0.35">
      <c r="C1" s="40" t="s">
        <v>66</v>
      </c>
      <c r="D1" s="40"/>
    </row>
    <row r="3" spans="3:11" x14ac:dyDescent="0.35">
      <c r="C3" s="20" t="s">
        <v>53</v>
      </c>
      <c r="D3" s="20" t="s">
        <v>54</v>
      </c>
      <c r="E3" s="20" t="s">
        <v>55</v>
      </c>
      <c r="F3" s="20" t="s">
        <v>58</v>
      </c>
      <c r="G3" s="20" t="s">
        <v>59</v>
      </c>
      <c r="H3" s="20" t="s">
        <v>70</v>
      </c>
    </row>
    <row r="4" spans="3:11" x14ac:dyDescent="0.35">
      <c r="C4" s="16" t="s">
        <v>5</v>
      </c>
      <c r="D4" s="15">
        <v>41.304954152770101</v>
      </c>
      <c r="E4" s="9">
        <v>-72.938504709631204</v>
      </c>
      <c r="F4" s="9">
        <v>24</v>
      </c>
      <c r="G4" s="9">
        <v>50</v>
      </c>
      <c r="H4" s="10">
        <v>7.9545500000000005E-2</v>
      </c>
    </row>
    <row r="5" spans="3:11" x14ac:dyDescent="0.35">
      <c r="C5" s="16" t="s">
        <v>6</v>
      </c>
      <c r="D5" s="15">
        <v>41.304845280853598</v>
      </c>
      <c r="E5" s="9">
        <v>-72.939296817548296</v>
      </c>
      <c r="F5" s="9">
        <v>24</v>
      </c>
      <c r="G5" s="9">
        <v>50</v>
      </c>
      <c r="H5" s="10">
        <v>5.2272699999999998E-2</v>
      </c>
    </row>
    <row r="6" spans="3:11" x14ac:dyDescent="0.35">
      <c r="C6" s="16" t="s">
        <v>7</v>
      </c>
      <c r="D6" s="15">
        <v>41.3047176322479</v>
      </c>
      <c r="E6" s="9">
        <v>-72.940379776345097</v>
      </c>
      <c r="F6" s="9">
        <v>24</v>
      </c>
      <c r="G6" s="9">
        <v>50</v>
      </c>
      <c r="H6" s="10">
        <v>5.66288E-2</v>
      </c>
    </row>
    <row r="7" spans="3:11" x14ac:dyDescent="0.35">
      <c r="C7" s="16" t="s">
        <v>8</v>
      </c>
      <c r="D7" s="15">
        <v>41.304452109779596</v>
      </c>
      <c r="E7" s="9">
        <v>-72.942692412606505</v>
      </c>
      <c r="F7" s="9">
        <v>24</v>
      </c>
      <c r="G7" s="9">
        <v>50</v>
      </c>
      <c r="H7" s="10">
        <v>0.1</v>
      </c>
    </row>
    <row r="8" spans="3:11" x14ac:dyDescent="0.35">
      <c r="C8" s="16" t="s">
        <v>9</v>
      </c>
      <c r="D8" s="15">
        <v>41.304283314136597</v>
      </c>
      <c r="E8" s="9">
        <v>-72.944219284248604</v>
      </c>
      <c r="F8" s="9">
        <v>24</v>
      </c>
      <c r="G8" s="9">
        <v>50</v>
      </c>
      <c r="H8" s="10">
        <v>8.4469699999999995E-2</v>
      </c>
    </row>
    <row r="9" spans="3:11" x14ac:dyDescent="0.35">
      <c r="C9" s="16" t="s">
        <v>10</v>
      </c>
      <c r="D9" s="15">
        <v>41.304756536831697</v>
      </c>
      <c r="E9" s="9">
        <v>-72.945408581632606</v>
      </c>
      <c r="F9" s="9">
        <v>24</v>
      </c>
      <c r="G9" s="9">
        <v>50</v>
      </c>
      <c r="H9" s="10">
        <v>6.9507600000000003E-2</v>
      </c>
    </row>
    <row r="11" spans="3:11" x14ac:dyDescent="0.35">
      <c r="C11" s="21"/>
    </row>
    <row r="12" spans="3:11" x14ac:dyDescent="0.35">
      <c r="D12" s="9" t="s">
        <v>65</v>
      </c>
      <c r="E12" s="9">
        <f>SUM(D4*G4+D5*G5+D6*G6+D7*G7+D8*G8+D9*G9)/SUM(G4:G9)</f>
        <v>41.304668171103252</v>
      </c>
      <c r="G12" s="39" t="s">
        <v>73</v>
      </c>
      <c r="H12" s="39"/>
      <c r="I12" s="39"/>
      <c r="J12" s="39"/>
      <c r="K12" s="39"/>
    </row>
    <row r="13" spans="3:11" x14ac:dyDescent="0.35">
      <c r="D13" s="9" t="s">
        <v>64</v>
      </c>
      <c r="E13" s="9">
        <f>SUM(E4*G4+E5*G5+E6*G6+E7*G7+E8*G8+E9*G9)/SUM(G4:G9)</f>
        <v>-72.941750263668709</v>
      </c>
    </row>
    <row r="14" spans="3:11" x14ac:dyDescent="0.35">
      <c r="H14" s="9" t="s">
        <v>65</v>
      </c>
      <c r="I14" s="9">
        <f>SUM(D4*G4+D5*G5+D6*G6)/SUM(G4:G6)</f>
        <v>41.3048390219572</v>
      </c>
    </row>
    <row r="15" spans="3:11" x14ac:dyDescent="0.35">
      <c r="D15" s="41" t="s">
        <v>69</v>
      </c>
      <c r="E15" s="41"/>
      <c r="H15" s="9" t="s">
        <v>64</v>
      </c>
      <c r="I15" s="9">
        <f>SUM(E4*G4+E5*G5+E6*G6)/SUM(G4:G6)</f>
        <v>-72.939393767841537</v>
      </c>
    </row>
    <row r="17" spans="3:17" x14ac:dyDescent="0.35">
      <c r="D17" s="9" t="s">
        <v>71</v>
      </c>
      <c r="G17" s="41" t="s">
        <v>72</v>
      </c>
      <c r="H17" s="41"/>
    </row>
    <row r="18" spans="3:17" x14ac:dyDescent="0.35">
      <c r="I18" s="42" t="s">
        <v>90</v>
      </c>
      <c r="J18" s="42"/>
      <c r="K18" s="42"/>
      <c r="L18" s="42"/>
      <c r="M18" s="42"/>
      <c r="N18" s="42"/>
      <c r="O18" s="42"/>
      <c r="P18" s="42"/>
      <c r="Q18" s="42"/>
    </row>
    <row r="19" spans="3:17" x14ac:dyDescent="0.35">
      <c r="C19" s="42" t="s">
        <v>91</v>
      </c>
      <c r="D19" s="42"/>
      <c r="E19" s="42"/>
      <c r="F19" s="42"/>
    </row>
    <row r="21" spans="3:17" x14ac:dyDescent="0.35">
      <c r="G21" s="39" t="s">
        <v>74</v>
      </c>
      <c r="H21" s="39"/>
      <c r="I21" s="39"/>
      <c r="J21" s="39"/>
      <c r="K21" s="39"/>
    </row>
    <row r="23" spans="3:17" x14ac:dyDescent="0.35">
      <c r="H23" s="9" t="s">
        <v>65</v>
      </c>
      <c r="I23" s="9">
        <f>SUM(D7*G7+D8*G8+D9*G9)/SUM(G7:G9)</f>
        <v>41.304497320249297</v>
      </c>
    </row>
    <row r="24" spans="3:17" x14ac:dyDescent="0.35">
      <c r="H24" s="9" t="s">
        <v>64</v>
      </c>
      <c r="I24" s="9">
        <f>SUM(E7*G7+E8*G8+E9*G9)/SUM(G7:G9)</f>
        <v>-72.944106759495909</v>
      </c>
    </row>
    <row r="26" spans="3:17" x14ac:dyDescent="0.35">
      <c r="G26" s="41" t="s">
        <v>75</v>
      </c>
      <c r="H26" s="41"/>
    </row>
    <row r="27" spans="3:17" x14ac:dyDescent="0.35">
      <c r="I27" s="42" t="s">
        <v>90</v>
      </c>
      <c r="J27" s="42"/>
      <c r="K27" s="42"/>
      <c r="L27" s="42"/>
      <c r="M27" s="42"/>
      <c r="N27" s="42"/>
      <c r="O27" s="42"/>
      <c r="P27" s="42"/>
      <c r="Q27" s="42"/>
    </row>
    <row r="31" spans="3:17" x14ac:dyDescent="0.35">
      <c r="C31" s="6" t="s">
        <v>94</v>
      </c>
    </row>
  </sheetData>
  <mergeCells count="9">
    <mergeCell ref="G26:H26"/>
    <mergeCell ref="I18:Q18"/>
    <mergeCell ref="I27:Q27"/>
    <mergeCell ref="C19:F19"/>
    <mergeCell ref="C1:D1"/>
    <mergeCell ref="G12:K12"/>
    <mergeCell ref="D15:E15"/>
    <mergeCell ref="G17:H17"/>
    <mergeCell ref="G21:K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DE806-761D-4B43-85A4-7D09EA7B6823}">
  <dimension ref="B1:L36"/>
  <sheetViews>
    <sheetView zoomScale="67" workbookViewId="0">
      <selection activeCell="B36" sqref="B36"/>
    </sheetView>
  </sheetViews>
  <sheetFormatPr defaultRowHeight="15.5" x14ac:dyDescent="0.35"/>
  <cols>
    <col min="1" max="2" width="8.7265625" style="6"/>
    <col min="3" max="3" width="15" style="6" bestFit="1" customWidth="1"/>
    <col min="4" max="4" width="15.1796875" style="6" bestFit="1" customWidth="1"/>
    <col min="5" max="5" width="16.1796875" style="6" bestFit="1" customWidth="1"/>
    <col min="6" max="6" width="17.1796875" style="6" bestFit="1" customWidth="1"/>
    <col min="7" max="7" width="18.36328125" style="6" bestFit="1" customWidth="1"/>
    <col min="8" max="8" width="16.54296875" style="6" bestFit="1" customWidth="1"/>
    <col min="9" max="10" width="8.7265625" style="6"/>
    <col min="11" max="11" width="18.26953125" style="6" bestFit="1" customWidth="1"/>
    <col min="12" max="12" width="7.453125" style="6" bestFit="1" customWidth="1"/>
    <col min="13" max="16384" width="8.7265625" style="6"/>
  </cols>
  <sheetData>
    <row r="1" spans="2:12" x14ac:dyDescent="0.35">
      <c r="B1" s="43" t="s">
        <v>52</v>
      </c>
      <c r="C1" s="43"/>
      <c r="D1" s="43"/>
      <c r="E1" s="43"/>
      <c r="F1" s="43"/>
      <c r="G1" s="43"/>
    </row>
    <row r="3" spans="2:12" x14ac:dyDescent="0.35">
      <c r="C3" s="22" t="s">
        <v>23</v>
      </c>
      <c r="D3" s="23" t="s">
        <v>40</v>
      </c>
      <c r="E3" s="23" t="s">
        <v>41</v>
      </c>
      <c r="F3" s="20" t="s">
        <v>42</v>
      </c>
      <c r="G3" s="20" t="s">
        <v>43</v>
      </c>
      <c r="H3" s="20" t="s">
        <v>62</v>
      </c>
      <c r="I3" s="20" t="s">
        <v>83</v>
      </c>
      <c r="K3" s="20" t="s">
        <v>82</v>
      </c>
      <c r="L3" s="20" t="s">
        <v>83</v>
      </c>
    </row>
    <row r="4" spans="2:12" x14ac:dyDescent="0.35">
      <c r="C4" s="12">
        <v>50</v>
      </c>
      <c r="D4" s="15">
        <v>41.307270872202501</v>
      </c>
      <c r="E4" s="9">
        <v>-72.926757348273</v>
      </c>
      <c r="F4" s="12">
        <v>500</v>
      </c>
      <c r="G4" s="24">
        <v>1.75</v>
      </c>
      <c r="H4" s="26">
        <f>G4*F4</f>
        <v>875</v>
      </c>
      <c r="I4" s="32">
        <v>44562</v>
      </c>
      <c r="K4" s="9">
        <v>900</v>
      </c>
      <c r="L4" s="32">
        <v>44562</v>
      </c>
    </row>
    <row r="5" spans="2:12" x14ac:dyDescent="0.35">
      <c r="C5" s="12">
        <v>50</v>
      </c>
      <c r="D5" s="15">
        <v>41.305278388102202</v>
      </c>
      <c r="E5" s="9">
        <v>-72.928087640220397</v>
      </c>
      <c r="F5" s="12">
        <v>400</v>
      </c>
      <c r="G5" s="24">
        <v>3.5</v>
      </c>
      <c r="H5" s="26">
        <f t="shared" ref="H5:H24" si="0">G5*F5</f>
        <v>1400</v>
      </c>
      <c r="I5" s="32">
        <v>44593</v>
      </c>
      <c r="K5" s="9">
        <v>650</v>
      </c>
      <c r="L5" s="32">
        <v>44593</v>
      </c>
    </row>
    <row r="6" spans="2:12" x14ac:dyDescent="0.35">
      <c r="C6" s="12">
        <v>50</v>
      </c>
      <c r="D6" s="15">
        <v>41.3046238444214</v>
      </c>
      <c r="E6" s="9">
        <v>-72.931258103708501</v>
      </c>
      <c r="F6" s="12">
        <v>300</v>
      </c>
      <c r="G6" s="24">
        <v>10</v>
      </c>
      <c r="H6" s="26">
        <f t="shared" si="0"/>
        <v>3000</v>
      </c>
      <c r="I6" s="32">
        <v>44621</v>
      </c>
      <c r="K6" s="9">
        <v>700</v>
      </c>
      <c r="L6" s="32">
        <v>44621</v>
      </c>
    </row>
    <row r="7" spans="2:12" x14ac:dyDescent="0.35">
      <c r="C7" s="12">
        <v>50</v>
      </c>
      <c r="D7" s="15">
        <v>41.305827515637802</v>
      </c>
      <c r="E7" s="9">
        <v>-72.934095014042398</v>
      </c>
      <c r="F7" s="12">
        <v>350</v>
      </c>
      <c r="G7" s="24">
        <v>1.75</v>
      </c>
      <c r="H7" s="26">
        <f t="shared" si="0"/>
        <v>612.5</v>
      </c>
      <c r="I7" s="32">
        <v>44652</v>
      </c>
      <c r="K7" s="9">
        <v>450</v>
      </c>
      <c r="L7" s="32">
        <v>44652</v>
      </c>
    </row>
    <row r="8" spans="2:12" x14ac:dyDescent="0.35">
      <c r="C8" s="12">
        <v>50</v>
      </c>
      <c r="D8" s="15">
        <v>41.305552645927797</v>
      </c>
      <c r="E8" s="9">
        <v>-72.936181843825096</v>
      </c>
      <c r="F8" s="12">
        <v>440</v>
      </c>
      <c r="G8" s="24">
        <v>1.75</v>
      </c>
      <c r="H8" s="26">
        <f t="shared" si="0"/>
        <v>770</v>
      </c>
      <c r="I8" s="32">
        <v>44682</v>
      </c>
      <c r="K8" s="9">
        <v>670</v>
      </c>
      <c r="L8" s="32">
        <v>44682</v>
      </c>
    </row>
    <row r="9" spans="2:12" x14ac:dyDescent="0.35">
      <c r="C9" s="12">
        <v>50</v>
      </c>
      <c r="D9" s="15">
        <v>41.304997162840699</v>
      </c>
      <c r="E9" s="9">
        <v>-72.937143034205803</v>
      </c>
      <c r="F9" s="12">
        <v>360</v>
      </c>
      <c r="G9" s="24">
        <v>1.75</v>
      </c>
      <c r="H9" s="26">
        <f t="shared" si="0"/>
        <v>630</v>
      </c>
      <c r="I9" s="32">
        <v>44713</v>
      </c>
      <c r="K9" s="9">
        <v>600</v>
      </c>
      <c r="L9" s="32">
        <v>44713</v>
      </c>
    </row>
    <row r="10" spans="2:12" x14ac:dyDescent="0.35">
      <c r="C10" s="12">
        <v>50</v>
      </c>
      <c r="D10" s="15">
        <v>41.304954152770101</v>
      </c>
      <c r="E10" s="9">
        <v>-72.938504709631204</v>
      </c>
      <c r="F10" s="12">
        <v>720</v>
      </c>
      <c r="G10" s="24">
        <v>1.75</v>
      </c>
      <c r="H10" s="26">
        <f t="shared" si="0"/>
        <v>1260</v>
      </c>
      <c r="I10" s="32">
        <v>44743</v>
      </c>
      <c r="K10" s="9">
        <v>560</v>
      </c>
      <c r="L10" s="32">
        <v>44743</v>
      </c>
    </row>
    <row r="11" spans="2:12" x14ac:dyDescent="0.35">
      <c r="C11" s="12">
        <v>50</v>
      </c>
      <c r="D11" s="15">
        <v>41.304845280853598</v>
      </c>
      <c r="E11" s="9">
        <v>-72.939296817548296</v>
      </c>
      <c r="F11" s="12">
        <v>330</v>
      </c>
      <c r="G11" s="24">
        <v>1.75</v>
      </c>
      <c r="H11" s="26">
        <f t="shared" si="0"/>
        <v>577.5</v>
      </c>
      <c r="I11" s="32">
        <v>44774</v>
      </c>
      <c r="K11" s="9">
        <v>780</v>
      </c>
      <c r="L11" s="32">
        <v>44774</v>
      </c>
    </row>
    <row r="12" spans="2:12" x14ac:dyDescent="0.35">
      <c r="C12" s="12">
        <v>50</v>
      </c>
      <c r="D12" s="15">
        <v>41.3047176322479</v>
      </c>
      <c r="E12" s="9">
        <v>-72.940379776345097</v>
      </c>
      <c r="F12" s="12">
        <v>270</v>
      </c>
      <c r="G12" s="24">
        <v>1.75</v>
      </c>
      <c r="H12" s="26">
        <f t="shared" si="0"/>
        <v>472.5</v>
      </c>
      <c r="I12" s="32">
        <v>44805</v>
      </c>
      <c r="K12" s="9">
        <v>540</v>
      </c>
      <c r="L12" s="32">
        <v>44805</v>
      </c>
    </row>
    <row r="13" spans="2:12" x14ac:dyDescent="0.35">
      <c r="C13" s="12">
        <v>50</v>
      </c>
      <c r="D13" s="15">
        <v>41.304452109779596</v>
      </c>
      <c r="E13" s="9">
        <v>-72.942692412606505</v>
      </c>
      <c r="F13" s="12">
        <v>550</v>
      </c>
      <c r="G13" s="24">
        <v>3.5</v>
      </c>
      <c r="H13" s="26">
        <f t="shared" si="0"/>
        <v>1925</v>
      </c>
      <c r="I13" s="32">
        <v>44835</v>
      </c>
      <c r="K13" s="9">
        <v>800</v>
      </c>
      <c r="L13" s="32">
        <v>44835</v>
      </c>
    </row>
    <row r="14" spans="2:12" x14ac:dyDescent="0.35">
      <c r="C14" s="12">
        <v>50</v>
      </c>
      <c r="D14" s="15">
        <v>41.304283314136597</v>
      </c>
      <c r="E14" s="9">
        <v>-72.944219284248604</v>
      </c>
      <c r="F14" s="12">
        <v>576</v>
      </c>
      <c r="G14" s="24">
        <v>3.5</v>
      </c>
      <c r="H14" s="26">
        <f t="shared" si="0"/>
        <v>2016</v>
      </c>
      <c r="I14" s="32">
        <v>44866</v>
      </c>
      <c r="K14" s="9">
        <v>600</v>
      </c>
      <c r="L14" s="32">
        <v>44866</v>
      </c>
    </row>
    <row r="15" spans="2:12" x14ac:dyDescent="0.35">
      <c r="C15" s="12">
        <v>50</v>
      </c>
      <c r="D15" s="15">
        <v>41.304756536831697</v>
      </c>
      <c r="E15" s="9">
        <v>-72.945408581632606</v>
      </c>
      <c r="F15" s="12">
        <v>345</v>
      </c>
      <c r="G15" s="24">
        <v>3.5</v>
      </c>
      <c r="H15" s="26">
        <f t="shared" si="0"/>
        <v>1207.5</v>
      </c>
      <c r="I15" s="32">
        <v>44896</v>
      </c>
      <c r="K15" s="9">
        <v>550</v>
      </c>
      <c r="L15" s="32">
        <v>44896</v>
      </c>
    </row>
    <row r="16" spans="2:12" x14ac:dyDescent="0.35">
      <c r="C16" s="12">
        <v>50</v>
      </c>
      <c r="D16" s="15">
        <v>41.305880863370298</v>
      </c>
      <c r="E16" s="9">
        <v>-72.946715546966701</v>
      </c>
      <c r="F16" s="12">
        <v>567</v>
      </c>
      <c r="G16" s="24">
        <v>1.75</v>
      </c>
      <c r="H16" s="26">
        <f t="shared" si="0"/>
        <v>992.25</v>
      </c>
      <c r="I16" s="32">
        <v>44927</v>
      </c>
      <c r="K16" s="9">
        <v>700</v>
      </c>
      <c r="L16" s="32">
        <v>44927</v>
      </c>
    </row>
    <row r="17" spans="3:12" x14ac:dyDescent="0.35">
      <c r="C17" s="12">
        <v>50</v>
      </c>
      <c r="D17" s="15">
        <v>41.305740458630702</v>
      </c>
      <c r="E17" s="9">
        <v>-72.952771089294998</v>
      </c>
      <c r="F17" s="12">
        <v>425</v>
      </c>
      <c r="G17" s="24">
        <v>1.75</v>
      </c>
      <c r="H17" s="26">
        <f t="shared" si="0"/>
        <v>743.75</v>
      </c>
      <c r="I17" s="32">
        <v>44958</v>
      </c>
      <c r="K17" s="9">
        <v>870</v>
      </c>
      <c r="L17" s="32">
        <v>44958</v>
      </c>
    </row>
    <row r="18" spans="3:12" x14ac:dyDescent="0.35">
      <c r="C18" s="12">
        <v>50</v>
      </c>
      <c r="D18" s="15">
        <v>41.297902361904498</v>
      </c>
      <c r="E18" s="9">
        <v>-72.949150902787906</v>
      </c>
      <c r="F18" s="12">
        <v>668</v>
      </c>
      <c r="G18" s="24">
        <v>1.75</v>
      </c>
      <c r="H18" s="26">
        <f t="shared" si="0"/>
        <v>1169</v>
      </c>
      <c r="I18" s="32">
        <v>44986</v>
      </c>
      <c r="K18" s="9">
        <v>567</v>
      </c>
      <c r="L18" s="32">
        <v>44986</v>
      </c>
    </row>
    <row r="19" spans="3:12" x14ac:dyDescent="0.35">
      <c r="C19" s="12">
        <v>50</v>
      </c>
      <c r="D19" s="15">
        <v>41.297731483377802</v>
      </c>
      <c r="E19" s="9">
        <v>-72.949391462310501</v>
      </c>
      <c r="F19" s="12">
        <v>545</v>
      </c>
      <c r="G19" s="24">
        <v>10</v>
      </c>
      <c r="H19" s="26">
        <f t="shared" si="0"/>
        <v>5450</v>
      </c>
      <c r="I19" s="32">
        <v>45017</v>
      </c>
      <c r="K19" s="9">
        <v>457</v>
      </c>
      <c r="L19" s="32">
        <v>45017</v>
      </c>
    </row>
    <row r="20" spans="3:12" x14ac:dyDescent="0.35">
      <c r="C20" s="12">
        <v>50</v>
      </c>
      <c r="D20" s="15">
        <v>41.297464242100098</v>
      </c>
      <c r="E20" s="9">
        <v>-72.951694275803007</v>
      </c>
      <c r="F20" s="12">
        <v>342</v>
      </c>
      <c r="G20" s="24">
        <v>10</v>
      </c>
      <c r="H20" s="26">
        <f t="shared" si="0"/>
        <v>3420</v>
      </c>
      <c r="I20" s="32">
        <v>45047</v>
      </c>
      <c r="K20" s="9">
        <v>665</v>
      </c>
      <c r="L20" s="32">
        <v>45047</v>
      </c>
    </row>
    <row r="21" spans="3:12" x14ac:dyDescent="0.35">
      <c r="C21" s="12">
        <v>50</v>
      </c>
      <c r="D21" s="15">
        <v>41.296956546363297</v>
      </c>
      <c r="E21" s="9">
        <v>-72.955146275803003</v>
      </c>
      <c r="F21" s="12">
        <v>534</v>
      </c>
      <c r="G21" s="24">
        <v>10</v>
      </c>
      <c r="H21" s="26">
        <f t="shared" si="0"/>
        <v>5340</v>
      </c>
      <c r="I21" s="32">
        <v>45078</v>
      </c>
      <c r="K21" s="9">
        <v>756</v>
      </c>
      <c r="L21" s="32">
        <v>45078</v>
      </c>
    </row>
    <row r="22" spans="3:12" x14ac:dyDescent="0.35">
      <c r="C22" s="12">
        <v>50</v>
      </c>
      <c r="D22" s="15">
        <v>41.296060002962903</v>
      </c>
      <c r="E22" s="9">
        <v>-72.957530818131303</v>
      </c>
      <c r="F22" s="12">
        <v>234</v>
      </c>
      <c r="G22" s="24">
        <v>10</v>
      </c>
      <c r="H22" s="26">
        <f t="shared" si="0"/>
        <v>2340</v>
      </c>
      <c r="I22" s="32">
        <v>45108</v>
      </c>
      <c r="K22" s="9">
        <v>534</v>
      </c>
      <c r="L22" s="32">
        <v>45108</v>
      </c>
    </row>
    <row r="23" spans="3:12" x14ac:dyDescent="0.35">
      <c r="C23" s="12">
        <v>50</v>
      </c>
      <c r="D23" s="15">
        <v>41.2948228315107</v>
      </c>
      <c r="E23" s="9">
        <v>-72.959319933474902</v>
      </c>
      <c r="F23" s="12">
        <v>545</v>
      </c>
      <c r="G23" s="24">
        <v>3</v>
      </c>
      <c r="H23" s="26">
        <f t="shared" si="0"/>
        <v>1635</v>
      </c>
      <c r="I23" s="32">
        <v>45139</v>
      </c>
      <c r="K23" s="9">
        <v>657</v>
      </c>
      <c r="L23" s="32">
        <v>45139</v>
      </c>
    </row>
    <row r="24" spans="3:12" x14ac:dyDescent="0.35">
      <c r="C24" s="12">
        <v>50</v>
      </c>
      <c r="D24" s="15">
        <v>41.292488193875698</v>
      </c>
      <c r="E24" s="9">
        <v>-72.961982733474997</v>
      </c>
      <c r="F24" s="12">
        <v>633</v>
      </c>
      <c r="G24" s="24">
        <v>1.75</v>
      </c>
      <c r="H24" s="26">
        <f t="shared" si="0"/>
        <v>1107.75</v>
      </c>
      <c r="I24" s="32">
        <v>45170</v>
      </c>
      <c r="K24" s="9">
        <v>745</v>
      </c>
      <c r="L24" s="32">
        <v>45170</v>
      </c>
    </row>
    <row r="28" spans="3:12" x14ac:dyDescent="0.35">
      <c r="C28" s="9" t="s">
        <v>49</v>
      </c>
      <c r="D28" s="26">
        <f>AVERAGE(G4:G24)</f>
        <v>4.1071428571428568</v>
      </c>
    </row>
    <row r="29" spans="3:12" x14ac:dyDescent="0.35">
      <c r="C29" s="9"/>
      <c r="D29" s="9"/>
    </row>
    <row r="30" spans="3:12" x14ac:dyDescent="0.35">
      <c r="C30" s="9" t="s">
        <v>50</v>
      </c>
      <c r="D30" s="9">
        <f ca="1">AVERAGE(OFFSET(F4,0,-1,1,2))</f>
        <v>213.53662132586351</v>
      </c>
    </row>
    <row r="31" spans="3:12" x14ac:dyDescent="0.35">
      <c r="C31" s="9"/>
      <c r="D31" s="9"/>
    </row>
    <row r="32" spans="3:12" x14ac:dyDescent="0.35">
      <c r="C32" s="9" t="s">
        <v>51</v>
      </c>
      <c r="D32" s="30">
        <f>(F4-F5)/F5</f>
        <v>0.25</v>
      </c>
    </row>
    <row r="33" spans="2:7" x14ac:dyDescent="0.35">
      <c r="G33" s="29"/>
    </row>
    <row r="36" spans="2:7" x14ac:dyDescent="0.35">
      <c r="B36" s="6" t="s">
        <v>94</v>
      </c>
    </row>
  </sheetData>
  <mergeCells count="1">
    <mergeCell ref="B1:G1"/>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DE6A0-F335-4A52-85A3-97F1A64C61ED}">
  <dimension ref="A1:V36"/>
  <sheetViews>
    <sheetView zoomScale="53" workbookViewId="0">
      <selection activeCell="C37" sqref="C37"/>
    </sheetView>
  </sheetViews>
  <sheetFormatPr defaultRowHeight="14.5" x14ac:dyDescent="0.35"/>
  <cols>
    <col min="1" max="1" width="9.36328125" customWidth="1"/>
    <col min="2" max="2" width="19.6328125" customWidth="1"/>
    <col min="3" max="3" width="28" customWidth="1"/>
    <col min="4" max="4" width="41.7265625" customWidth="1"/>
    <col min="5" max="5" width="41.81640625" customWidth="1"/>
  </cols>
  <sheetData>
    <row r="1" spans="1:22" x14ac:dyDescent="0.35">
      <c r="A1" t="s">
        <v>83</v>
      </c>
      <c r="B1" t="s">
        <v>82</v>
      </c>
      <c r="C1" t="s">
        <v>84</v>
      </c>
      <c r="D1" t="s">
        <v>85</v>
      </c>
      <c r="E1" t="s">
        <v>86</v>
      </c>
    </row>
    <row r="2" spans="1:22" x14ac:dyDescent="0.35">
      <c r="A2" s="31">
        <v>44562</v>
      </c>
      <c r="B2">
        <v>900</v>
      </c>
    </row>
    <row r="3" spans="1:22" x14ac:dyDescent="0.35">
      <c r="A3" s="31">
        <v>44593</v>
      </c>
      <c r="B3">
        <v>650</v>
      </c>
    </row>
    <row r="4" spans="1:22" x14ac:dyDescent="0.35">
      <c r="A4" s="31">
        <v>44621</v>
      </c>
      <c r="B4">
        <v>700</v>
      </c>
    </row>
    <row r="5" spans="1:22" x14ac:dyDescent="0.35">
      <c r="A5" s="31">
        <v>44652</v>
      </c>
      <c r="B5">
        <v>450</v>
      </c>
      <c r="G5" s="44"/>
      <c r="H5" s="44"/>
      <c r="I5" s="44"/>
      <c r="J5" s="44"/>
      <c r="K5" s="44"/>
      <c r="L5" s="44"/>
      <c r="M5" s="44"/>
      <c r="N5" s="44"/>
      <c r="O5" s="44"/>
      <c r="P5" s="44"/>
      <c r="Q5" s="44"/>
      <c r="R5" s="44"/>
      <c r="S5" s="44"/>
      <c r="T5" s="44"/>
      <c r="U5" s="44"/>
      <c r="V5" s="44"/>
    </row>
    <row r="6" spans="1:22" x14ac:dyDescent="0.35">
      <c r="A6" s="31">
        <v>44682</v>
      </c>
      <c r="B6">
        <v>670</v>
      </c>
      <c r="G6" s="44"/>
      <c r="H6" s="44"/>
      <c r="I6" s="44"/>
      <c r="J6" s="44"/>
      <c r="K6" s="44"/>
      <c r="L6" s="44"/>
      <c r="M6" s="44"/>
      <c r="N6" s="44"/>
      <c r="O6" s="44"/>
      <c r="P6" s="44"/>
      <c r="Q6" s="44"/>
      <c r="R6" s="44"/>
      <c r="S6" s="44"/>
      <c r="T6" s="44"/>
      <c r="U6" s="44"/>
      <c r="V6" s="44"/>
    </row>
    <row r="7" spans="1:22" x14ac:dyDescent="0.35">
      <c r="A7" s="31">
        <v>44713</v>
      </c>
      <c r="B7">
        <v>600</v>
      </c>
      <c r="G7" s="44"/>
      <c r="H7" s="44"/>
      <c r="I7" s="44"/>
      <c r="J7" s="44"/>
      <c r="K7" s="44"/>
      <c r="L7" s="44"/>
      <c r="M7" s="44"/>
      <c r="N7" s="44"/>
      <c r="O7" s="44"/>
      <c r="P7" s="44"/>
      <c r="Q7" s="44"/>
      <c r="R7" s="44"/>
      <c r="S7" s="44"/>
      <c r="T7" s="44"/>
      <c r="U7" s="44"/>
      <c r="V7" s="44"/>
    </row>
    <row r="8" spans="1:22" x14ac:dyDescent="0.35">
      <c r="A8" s="31">
        <v>44743</v>
      </c>
      <c r="B8">
        <v>560</v>
      </c>
      <c r="G8" s="44"/>
      <c r="H8" s="44"/>
      <c r="I8" s="44"/>
      <c r="J8" s="44"/>
      <c r="K8" s="44"/>
      <c r="L8" s="44"/>
      <c r="M8" s="44"/>
      <c r="N8" s="44"/>
      <c r="O8" s="44"/>
      <c r="P8" s="44"/>
      <c r="Q8" s="44"/>
      <c r="R8" s="44"/>
      <c r="S8" s="44"/>
      <c r="T8" s="44"/>
      <c r="U8" s="44"/>
      <c r="V8" s="44"/>
    </row>
    <row r="9" spans="1:22" x14ac:dyDescent="0.35">
      <c r="A9" s="31">
        <v>44774</v>
      </c>
      <c r="B9">
        <v>780</v>
      </c>
      <c r="G9" s="44"/>
      <c r="H9" s="44"/>
      <c r="I9" s="44"/>
      <c r="J9" s="44"/>
      <c r="K9" s="44"/>
      <c r="L9" s="44"/>
      <c r="M9" s="44"/>
      <c r="N9" s="44"/>
      <c r="O9" s="44"/>
      <c r="P9" s="44"/>
      <c r="Q9" s="44"/>
      <c r="R9" s="44"/>
      <c r="S9" s="44"/>
      <c r="T9" s="44"/>
      <c r="U9" s="44"/>
      <c r="V9" s="44"/>
    </row>
    <row r="10" spans="1:22" x14ac:dyDescent="0.35">
      <c r="A10" s="31">
        <v>44805</v>
      </c>
      <c r="B10">
        <v>540</v>
      </c>
      <c r="G10" s="44"/>
      <c r="H10" s="44"/>
      <c r="I10" s="44"/>
      <c r="J10" s="44"/>
      <c r="K10" s="44"/>
      <c r="L10" s="44"/>
      <c r="M10" s="44"/>
      <c r="N10" s="44"/>
      <c r="O10" s="44"/>
      <c r="P10" s="44"/>
      <c r="Q10" s="44"/>
      <c r="R10" s="44"/>
      <c r="S10" s="44"/>
      <c r="T10" s="44"/>
      <c r="U10" s="44"/>
      <c r="V10" s="44"/>
    </row>
    <row r="11" spans="1:22" x14ac:dyDescent="0.35">
      <c r="A11" s="31">
        <v>44835</v>
      </c>
      <c r="B11">
        <v>800</v>
      </c>
      <c r="G11" s="44"/>
      <c r="H11" s="44"/>
      <c r="I11" s="44"/>
      <c r="J11" s="44"/>
      <c r="K11" s="44"/>
      <c r="L11" s="44"/>
      <c r="M11" s="44"/>
      <c r="N11" s="44"/>
      <c r="O11" s="44"/>
      <c r="P11" s="44"/>
      <c r="Q11" s="44"/>
      <c r="R11" s="44"/>
      <c r="S11" s="44"/>
      <c r="T11" s="44"/>
      <c r="U11" s="44"/>
      <c r="V11" s="44"/>
    </row>
    <row r="12" spans="1:22" x14ac:dyDescent="0.35">
      <c r="A12" s="31">
        <v>44866</v>
      </c>
      <c r="B12">
        <v>600</v>
      </c>
      <c r="G12" s="44"/>
      <c r="H12" s="44"/>
      <c r="I12" s="44"/>
      <c r="J12" s="44"/>
      <c r="K12" s="44"/>
      <c r="L12" s="44"/>
      <c r="M12" s="44"/>
      <c r="N12" s="44"/>
      <c r="O12" s="44"/>
      <c r="P12" s="44"/>
      <c r="Q12" s="44"/>
      <c r="R12" s="44"/>
      <c r="S12" s="44"/>
      <c r="T12" s="44"/>
      <c r="U12" s="44"/>
      <c r="V12" s="44"/>
    </row>
    <row r="13" spans="1:22" x14ac:dyDescent="0.35">
      <c r="A13" s="31">
        <v>44896</v>
      </c>
      <c r="B13">
        <v>550</v>
      </c>
      <c r="G13" s="44"/>
      <c r="H13" s="44"/>
      <c r="I13" s="44"/>
      <c r="J13" s="44"/>
      <c r="K13" s="44"/>
      <c r="L13" s="44"/>
      <c r="M13" s="44"/>
      <c r="N13" s="44"/>
      <c r="O13" s="44"/>
      <c r="P13" s="44"/>
      <c r="Q13" s="44"/>
      <c r="R13" s="44"/>
      <c r="S13" s="44"/>
      <c r="T13" s="44"/>
      <c r="U13" s="44"/>
      <c r="V13" s="44"/>
    </row>
    <row r="14" spans="1:22" x14ac:dyDescent="0.35">
      <c r="A14" s="31">
        <v>44927</v>
      </c>
      <c r="B14">
        <v>700</v>
      </c>
      <c r="G14" s="44"/>
      <c r="H14" s="44"/>
      <c r="I14" s="44"/>
      <c r="J14" s="44"/>
      <c r="K14" s="44"/>
      <c r="L14" s="44"/>
      <c r="M14" s="44"/>
      <c r="N14" s="44"/>
      <c r="O14" s="44"/>
      <c r="P14" s="44"/>
      <c r="Q14" s="44"/>
      <c r="R14" s="44"/>
      <c r="S14" s="44"/>
      <c r="T14" s="44"/>
      <c r="U14" s="44"/>
      <c r="V14" s="44"/>
    </row>
    <row r="15" spans="1:22" x14ac:dyDescent="0.35">
      <c r="A15" s="31">
        <v>44958</v>
      </c>
      <c r="B15">
        <v>870</v>
      </c>
      <c r="G15" s="44"/>
      <c r="H15" s="44"/>
      <c r="I15" s="44"/>
      <c r="J15" s="44"/>
      <c r="K15" s="44"/>
      <c r="L15" s="44"/>
      <c r="M15" s="44"/>
      <c r="N15" s="44"/>
      <c r="O15" s="44"/>
      <c r="P15" s="44"/>
      <c r="Q15" s="44"/>
      <c r="R15" s="44"/>
      <c r="S15" s="44"/>
      <c r="T15" s="44"/>
      <c r="U15" s="44"/>
      <c r="V15" s="44"/>
    </row>
    <row r="16" spans="1:22" x14ac:dyDescent="0.35">
      <c r="A16" s="31">
        <v>44986</v>
      </c>
      <c r="B16">
        <v>567</v>
      </c>
      <c r="G16" s="44"/>
      <c r="H16" s="44"/>
      <c r="I16" s="44"/>
      <c r="J16" s="44"/>
      <c r="K16" s="44"/>
      <c r="L16" s="44"/>
      <c r="M16" s="44"/>
      <c r="N16" s="44"/>
      <c r="O16" s="44"/>
      <c r="P16" s="44"/>
      <c r="Q16" s="44"/>
      <c r="R16" s="44"/>
      <c r="S16" s="44"/>
      <c r="T16" s="44"/>
      <c r="U16" s="44"/>
      <c r="V16" s="44"/>
    </row>
    <row r="17" spans="1:22" x14ac:dyDescent="0.35">
      <c r="A17" s="31">
        <v>45017</v>
      </c>
      <c r="B17">
        <v>457</v>
      </c>
      <c r="G17" s="44"/>
      <c r="H17" s="44"/>
      <c r="I17" s="44"/>
      <c r="J17" s="44"/>
      <c r="K17" s="44"/>
      <c r="L17" s="44"/>
      <c r="M17" s="44"/>
      <c r="N17" s="44"/>
      <c r="O17" s="44"/>
      <c r="P17" s="44"/>
      <c r="Q17" s="44"/>
      <c r="R17" s="44"/>
      <c r="S17" s="44"/>
      <c r="T17" s="44"/>
      <c r="U17" s="44"/>
      <c r="V17" s="44"/>
    </row>
    <row r="18" spans="1:22" x14ac:dyDescent="0.35">
      <c r="A18" s="31">
        <v>45047</v>
      </c>
      <c r="B18">
        <v>665</v>
      </c>
      <c r="G18" s="44"/>
      <c r="H18" s="44"/>
      <c r="I18" s="44"/>
      <c r="J18" s="44"/>
      <c r="K18" s="44"/>
      <c r="L18" s="44"/>
      <c r="M18" s="44"/>
      <c r="N18" s="44"/>
      <c r="O18" s="44"/>
      <c r="P18" s="44"/>
      <c r="Q18" s="44"/>
      <c r="R18" s="44"/>
      <c r="S18" s="44"/>
      <c r="T18" s="44"/>
      <c r="U18" s="44"/>
      <c r="V18" s="44"/>
    </row>
    <row r="19" spans="1:22" x14ac:dyDescent="0.35">
      <c r="A19" s="31">
        <v>45078</v>
      </c>
      <c r="B19">
        <v>756</v>
      </c>
      <c r="G19" s="44"/>
      <c r="H19" s="44"/>
      <c r="I19" s="44"/>
      <c r="J19" s="44"/>
      <c r="K19" s="44"/>
      <c r="L19" s="44"/>
      <c r="M19" s="44"/>
      <c r="N19" s="44"/>
      <c r="O19" s="44"/>
      <c r="P19" s="44"/>
      <c r="Q19" s="44"/>
      <c r="R19" s="44"/>
      <c r="S19" s="44"/>
      <c r="T19" s="44"/>
      <c r="U19" s="44"/>
      <c r="V19" s="44"/>
    </row>
    <row r="20" spans="1:22" x14ac:dyDescent="0.35">
      <c r="A20" s="31">
        <v>45108</v>
      </c>
      <c r="B20">
        <v>534</v>
      </c>
      <c r="G20" s="44"/>
      <c r="H20" s="44"/>
      <c r="I20" s="44"/>
      <c r="J20" s="44"/>
      <c r="K20" s="44"/>
      <c r="L20" s="44"/>
      <c r="M20" s="44"/>
      <c r="N20" s="44"/>
      <c r="O20" s="44"/>
      <c r="P20" s="44"/>
      <c r="Q20" s="44"/>
      <c r="R20" s="44"/>
      <c r="S20" s="44"/>
      <c r="T20" s="44"/>
      <c r="U20" s="44"/>
      <c r="V20" s="44"/>
    </row>
    <row r="21" spans="1:22" x14ac:dyDescent="0.35">
      <c r="A21" s="31">
        <v>45139</v>
      </c>
      <c r="B21">
        <v>657</v>
      </c>
      <c r="G21" s="44"/>
      <c r="H21" s="44"/>
      <c r="I21" s="44"/>
      <c r="J21" s="44"/>
      <c r="K21" s="44"/>
      <c r="L21" s="44"/>
      <c r="M21" s="44"/>
      <c r="N21" s="44"/>
      <c r="O21" s="44"/>
      <c r="P21" s="44"/>
      <c r="Q21" s="44"/>
      <c r="R21" s="44"/>
      <c r="S21" s="44"/>
      <c r="T21" s="44"/>
      <c r="U21" s="44"/>
      <c r="V21" s="44"/>
    </row>
    <row r="22" spans="1:22" x14ac:dyDescent="0.35">
      <c r="A22" s="31">
        <v>45170</v>
      </c>
      <c r="B22">
        <v>745</v>
      </c>
      <c r="C22">
        <v>745</v>
      </c>
      <c r="D22" s="1">
        <v>745</v>
      </c>
      <c r="E22" s="1">
        <v>745</v>
      </c>
      <c r="G22" s="44"/>
      <c r="H22" s="44"/>
      <c r="I22" s="44"/>
      <c r="J22" s="44"/>
      <c r="K22" s="44"/>
      <c r="L22" s="44"/>
      <c r="M22" s="44"/>
      <c r="N22" s="44"/>
      <c r="O22" s="44"/>
      <c r="P22" s="44"/>
      <c r="Q22" s="44"/>
      <c r="R22" s="44"/>
      <c r="S22" s="44"/>
      <c r="T22" s="44"/>
      <c r="U22" s="44"/>
      <c r="V22" s="44"/>
    </row>
    <row r="23" spans="1:22" x14ac:dyDescent="0.35">
      <c r="A23" s="31">
        <v>45200</v>
      </c>
      <c r="C23">
        <f t="shared" ref="C23:C28" si="0">_xlfn.FORECAST.ETS(A23,$B$2:$B$22,$A$2:$A$22,1,1)</f>
        <v>685.48554868444717</v>
      </c>
      <c r="D23" s="1">
        <f t="shared" ref="D23:D28" si="1">C23-_xlfn.FORECAST.ETS.CONFINT(A23,$B$2:$B$22,$A$2:$A$22,0.95,1,1)</f>
        <v>388.66486789661707</v>
      </c>
      <c r="E23" s="1">
        <f t="shared" ref="E23:E28" si="2">C23+_xlfn.FORECAST.ETS.CONFINT(A23,$B$2:$B$22,$A$2:$A$22,0.95,1,1)</f>
        <v>982.30622947227721</v>
      </c>
      <c r="G23" s="44"/>
      <c r="H23" s="44"/>
      <c r="I23" s="44"/>
      <c r="J23" s="44"/>
      <c r="K23" s="44"/>
      <c r="L23" s="44"/>
      <c r="M23" s="44"/>
      <c r="N23" s="44"/>
      <c r="O23" s="44"/>
      <c r="P23" s="44"/>
      <c r="Q23" s="44"/>
      <c r="R23" s="44"/>
      <c r="S23" s="44"/>
      <c r="T23" s="44"/>
      <c r="U23" s="44"/>
      <c r="V23" s="44"/>
    </row>
    <row r="24" spans="1:22" x14ac:dyDescent="0.35">
      <c r="A24" s="31">
        <v>45231</v>
      </c>
      <c r="C24">
        <f t="shared" si="0"/>
        <v>683.76855045317438</v>
      </c>
      <c r="D24" s="1">
        <f t="shared" si="1"/>
        <v>351.78009237330593</v>
      </c>
      <c r="E24" s="1">
        <f t="shared" si="2"/>
        <v>1015.7570085330428</v>
      </c>
      <c r="G24" s="44"/>
      <c r="H24" s="44"/>
      <c r="I24" s="44"/>
      <c r="J24" s="44"/>
      <c r="K24" s="44"/>
      <c r="L24" s="44"/>
      <c r="M24" s="44"/>
      <c r="N24" s="44"/>
      <c r="O24" s="44"/>
      <c r="P24" s="44"/>
      <c r="Q24" s="44"/>
      <c r="R24" s="44"/>
      <c r="S24" s="44"/>
      <c r="T24" s="44"/>
      <c r="U24" s="44"/>
      <c r="V24" s="44"/>
    </row>
    <row r="25" spans="1:22" x14ac:dyDescent="0.35">
      <c r="A25" s="31">
        <v>45261</v>
      </c>
      <c r="C25">
        <f t="shared" si="0"/>
        <v>682.05155222190149</v>
      </c>
      <c r="D25" s="1">
        <f t="shared" si="1"/>
        <v>318.15799240359524</v>
      </c>
      <c r="E25" s="1">
        <f t="shared" si="2"/>
        <v>1045.9451120402077</v>
      </c>
      <c r="G25" s="44"/>
      <c r="H25" s="44"/>
      <c r="I25" s="44"/>
      <c r="J25" s="44"/>
      <c r="K25" s="44"/>
      <c r="L25" s="44"/>
      <c r="M25" s="44"/>
      <c r="N25" s="44"/>
      <c r="O25" s="44"/>
      <c r="P25" s="44"/>
      <c r="Q25" s="44"/>
      <c r="R25" s="44"/>
      <c r="S25" s="44"/>
      <c r="T25" s="44"/>
      <c r="U25" s="44"/>
      <c r="V25" s="44"/>
    </row>
    <row r="26" spans="1:22" x14ac:dyDescent="0.35">
      <c r="A26" s="31">
        <v>45292</v>
      </c>
      <c r="C26">
        <f t="shared" si="0"/>
        <v>680.33455399062871</v>
      </c>
      <c r="D26" s="1">
        <f t="shared" si="1"/>
        <v>287.00358332424969</v>
      </c>
      <c r="E26" s="1">
        <f t="shared" si="2"/>
        <v>1073.6655246570076</v>
      </c>
      <c r="G26" s="44"/>
      <c r="H26" s="44"/>
      <c r="I26" s="44"/>
      <c r="J26" s="44"/>
      <c r="K26" s="44"/>
      <c r="L26" s="44"/>
      <c r="M26" s="44"/>
      <c r="N26" s="44"/>
      <c r="O26" s="44"/>
      <c r="P26" s="44"/>
      <c r="Q26" s="44"/>
      <c r="R26" s="44"/>
      <c r="S26" s="44"/>
      <c r="T26" s="44"/>
      <c r="U26" s="44"/>
      <c r="V26" s="44"/>
    </row>
    <row r="27" spans="1:22" x14ac:dyDescent="0.35">
      <c r="A27" s="31">
        <v>45323</v>
      </c>
      <c r="C27">
        <f t="shared" si="0"/>
        <v>678.61755575935592</v>
      </c>
      <c r="D27" s="1">
        <f t="shared" si="1"/>
        <v>257.79847191496594</v>
      </c>
      <c r="E27" s="1">
        <f t="shared" si="2"/>
        <v>1099.4366396037458</v>
      </c>
      <c r="G27" s="44"/>
      <c r="H27" s="44"/>
      <c r="I27" s="44"/>
      <c r="J27" s="44"/>
      <c r="K27" s="44"/>
      <c r="L27" s="44"/>
      <c r="M27" s="44"/>
      <c r="N27" s="44"/>
      <c r="O27" s="44"/>
      <c r="P27" s="44"/>
      <c r="Q27" s="44"/>
      <c r="R27" s="44"/>
      <c r="S27" s="44"/>
      <c r="T27" s="44"/>
      <c r="U27" s="44"/>
      <c r="V27" s="44"/>
    </row>
    <row r="28" spans="1:22" x14ac:dyDescent="0.35">
      <c r="A28" s="31">
        <v>45352</v>
      </c>
      <c r="C28">
        <f t="shared" si="0"/>
        <v>676.90055752808314</v>
      </c>
      <c r="D28" s="1">
        <f t="shared" si="1"/>
        <v>230.18247460653873</v>
      </c>
      <c r="E28" s="1">
        <f t="shared" si="2"/>
        <v>1123.6186404496275</v>
      </c>
      <c r="G28" s="44"/>
      <c r="H28" s="44"/>
      <c r="I28" s="44"/>
      <c r="J28" s="44"/>
      <c r="K28" s="44"/>
      <c r="L28" s="44"/>
      <c r="M28" s="44"/>
      <c r="N28" s="44"/>
      <c r="O28" s="44"/>
      <c r="P28" s="44"/>
      <c r="Q28" s="44"/>
      <c r="R28" s="44"/>
      <c r="S28" s="44"/>
      <c r="T28" s="44"/>
      <c r="U28" s="44"/>
      <c r="V28" s="44"/>
    </row>
    <row r="29" spans="1:22" x14ac:dyDescent="0.35">
      <c r="G29" s="44"/>
      <c r="H29" s="44"/>
      <c r="I29" s="44"/>
      <c r="J29" s="44"/>
      <c r="K29" s="44"/>
      <c r="L29" s="44"/>
      <c r="M29" s="44"/>
      <c r="N29" s="44"/>
      <c r="O29" s="44"/>
      <c r="P29" s="44"/>
      <c r="Q29" s="44"/>
      <c r="R29" s="44"/>
      <c r="S29" s="44"/>
      <c r="T29" s="44"/>
      <c r="U29" s="44"/>
      <c r="V29" s="44"/>
    </row>
    <row r="30" spans="1:22" x14ac:dyDescent="0.35">
      <c r="G30" s="44"/>
      <c r="H30" s="44"/>
      <c r="I30" s="44"/>
      <c r="J30" s="44"/>
      <c r="K30" s="44"/>
      <c r="L30" s="44"/>
      <c r="M30" s="44"/>
      <c r="N30" s="44"/>
      <c r="O30" s="44"/>
      <c r="P30" s="44"/>
      <c r="Q30" s="44"/>
      <c r="R30" s="44"/>
      <c r="S30" s="44"/>
      <c r="T30" s="44"/>
      <c r="U30" s="44"/>
      <c r="V30" s="44"/>
    </row>
    <row r="36" spans="3:19" x14ac:dyDescent="0.35">
      <c r="C36" s="45" t="s">
        <v>92</v>
      </c>
      <c r="D36" s="45"/>
      <c r="E36" s="45"/>
      <c r="F36" s="45"/>
      <c r="G36" s="45"/>
      <c r="H36" s="45"/>
      <c r="I36" s="45"/>
      <c r="J36" s="45"/>
      <c r="K36" s="45"/>
      <c r="L36" s="45"/>
      <c r="M36" s="45"/>
      <c r="N36" s="45"/>
      <c r="O36" s="45"/>
      <c r="P36" s="45"/>
      <c r="Q36" s="45"/>
      <c r="R36" s="45"/>
      <c r="S36" s="45"/>
    </row>
  </sheetData>
  <mergeCells count="2">
    <mergeCell ref="G5:V30"/>
    <mergeCell ref="C36:S36"/>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BDBD7-8463-4771-A2BB-55D8AD160832}">
  <dimension ref="A1:N34"/>
  <sheetViews>
    <sheetView tabSelected="1" topLeftCell="A6" zoomScale="62" workbookViewId="0">
      <selection activeCell="J13" sqref="J13"/>
    </sheetView>
  </sheetViews>
  <sheetFormatPr defaultRowHeight="15.5" x14ac:dyDescent="0.35"/>
  <cols>
    <col min="1" max="1" width="14.08984375" style="6" bestFit="1" customWidth="1"/>
    <col min="2" max="2" width="22.08984375" style="6" customWidth="1"/>
    <col min="3" max="3" width="11.26953125" style="6" bestFit="1" customWidth="1"/>
    <col min="4" max="4" width="23.54296875" style="6" bestFit="1" customWidth="1"/>
    <col min="5" max="5" width="18.7265625" style="6" bestFit="1" customWidth="1"/>
    <col min="6" max="6" width="11.54296875" style="6" bestFit="1" customWidth="1"/>
    <col min="7" max="7" width="21.1796875" style="6" bestFit="1" customWidth="1"/>
    <col min="8" max="8" width="8.7265625" style="6"/>
    <col min="9" max="9" width="24.08984375" style="6" bestFit="1" customWidth="1"/>
    <col min="10" max="10" width="15" style="6" bestFit="1" customWidth="1"/>
    <col min="11" max="11" width="5.453125" style="6" bestFit="1" customWidth="1"/>
    <col min="12" max="12" width="20.1796875" style="6" bestFit="1" customWidth="1"/>
    <col min="13" max="13" width="19.1796875" style="6" bestFit="1" customWidth="1"/>
    <col min="14" max="14" width="16.36328125" style="6" bestFit="1" customWidth="1"/>
    <col min="15" max="16384" width="8.7265625" style="6"/>
  </cols>
  <sheetData>
    <row r="1" spans="1:11" x14ac:dyDescent="0.35">
      <c r="A1" s="22" t="s">
        <v>45</v>
      </c>
      <c r="B1" s="22" t="s">
        <v>93</v>
      </c>
      <c r="C1" s="23" t="s">
        <v>48</v>
      </c>
      <c r="D1" s="23" t="s">
        <v>47</v>
      </c>
      <c r="E1" s="20" t="s">
        <v>42</v>
      </c>
      <c r="F1" s="20" t="s">
        <v>43</v>
      </c>
      <c r="G1" s="20" t="s">
        <v>44</v>
      </c>
    </row>
    <row r="2" spans="1:11" x14ac:dyDescent="0.35">
      <c r="A2" s="12">
        <v>24</v>
      </c>
      <c r="B2" s="12">
        <v>471</v>
      </c>
      <c r="C2" s="15" t="s">
        <v>46</v>
      </c>
      <c r="D2" s="17" t="s">
        <v>19</v>
      </c>
      <c r="E2" s="12">
        <v>500</v>
      </c>
      <c r="F2" s="24">
        <v>1.75</v>
      </c>
      <c r="G2" s="25">
        <f>E2*F2</f>
        <v>875</v>
      </c>
    </row>
    <row r="3" spans="1:11" x14ac:dyDescent="0.35">
      <c r="A3" s="12">
        <v>24</v>
      </c>
      <c r="B3" s="12">
        <v>471</v>
      </c>
      <c r="C3" s="15" t="s">
        <v>46</v>
      </c>
      <c r="D3" s="17" t="s">
        <v>19</v>
      </c>
      <c r="E3" s="12">
        <v>400</v>
      </c>
      <c r="F3" s="24">
        <v>1.75</v>
      </c>
      <c r="G3" s="25">
        <f t="shared" ref="G3:G22" si="0">E3*F3</f>
        <v>700</v>
      </c>
      <c r="K3" s="28"/>
    </row>
    <row r="4" spans="1:11" x14ac:dyDescent="0.35">
      <c r="A4" s="12">
        <v>24</v>
      </c>
      <c r="B4" s="12">
        <v>471</v>
      </c>
      <c r="C4" s="15" t="s">
        <v>46</v>
      </c>
      <c r="D4" s="17" t="s">
        <v>19</v>
      </c>
      <c r="E4" s="12">
        <v>300</v>
      </c>
      <c r="F4" s="24">
        <v>1.75</v>
      </c>
      <c r="G4" s="25">
        <f t="shared" si="0"/>
        <v>525</v>
      </c>
      <c r="K4" s="28"/>
    </row>
    <row r="5" spans="1:11" x14ac:dyDescent="0.35">
      <c r="A5" s="12">
        <v>24</v>
      </c>
      <c r="B5" s="12">
        <v>471</v>
      </c>
      <c r="C5" s="15" t="s">
        <v>46</v>
      </c>
      <c r="D5" s="17" t="s">
        <v>19</v>
      </c>
      <c r="E5" s="12">
        <v>350</v>
      </c>
      <c r="F5" s="24">
        <v>1.75</v>
      </c>
      <c r="G5" s="25">
        <f t="shared" si="0"/>
        <v>612.5</v>
      </c>
    </row>
    <row r="6" spans="1:11" x14ac:dyDescent="0.35">
      <c r="A6" s="12">
        <v>24</v>
      </c>
      <c r="B6" s="12">
        <v>471</v>
      </c>
      <c r="C6" s="15" t="s">
        <v>46</v>
      </c>
      <c r="D6" s="17" t="s">
        <v>19</v>
      </c>
      <c r="E6" s="12">
        <v>440</v>
      </c>
      <c r="F6" s="24">
        <v>1.75</v>
      </c>
      <c r="G6" s="25">
        <f t="shared" si="0"/>
        <v>770</v>
      </c>
    </row>
    <row r="7" spans="1:11" x14ac:dyDescent="0.35">
      <c r="A7" s="12">
        <v>24</v>
      </c>
      <c r="B7" s="12">
        <v>471</v>
      </c>
      <c r="C7" s="15" t="s">
        <v>46</v>
      </c>
      <c r="D7" s="17" t="s">
        <v>19</v>
      </c>
      <c r="E7" s="12">
        <v>360</v>
      </c>
      <c r="F7" s="24">
        <v>1.75</v>
      </c>
      <c r="G7" s="25">
        <f t="shared" si="0"/>
        <v>630</v>
      </c>
    </row>
    <row r="8" spans="1:11" x14ac:dyDescent="0.35">
      <c r="A8" s="12">
        <v>24</v>
      </c>
      <c r="B8" s="12">
        <v>471</v>
      </c>
      <c r="C8" s="15" t="s">
        <v>46</v>
      </c>
      <c r="D8" s="17" t="s">
        <v>19</v>
      </c>
      <c r="E8" s="12">
        <v>720</v>
      </c>
      <c r="F8" s="24">
        <v>1.75</v>
      </c>
      <c r="G8" s="25">
        <f t="shared" si="0"/>
        <v>1260</v>
      </c>
    </row>
    <row r="9" spans="1:11" x14ac:dyDescent="0.35">
      <c r="A9" s="12">
        <v>24</v>
      </c>
      <c r="B9" s="12">
        <v>471</v>
      </c>
      <c r="C9" s="15" t="s">
        <v>46</v>
      </c>
      <c r="D9" s="17" t="s">
        <v>19</v>
      </c>
      <c r="E9" s="12">
        <v>330</v>
      </c>
      <c r="F9" s="24">
        <v>1.75</v>
      </c>
      <c r="G9" s="25">
        <f t="shared" si="0"/>
        <v>577.5</v>
      </c>
    </row>
    <row r="10" spans="1:11" x14ac:dyDescent="0.35">
      <c r="A10" s="12">
        <v>24</v>
      </c>
      <c r="B10" s="12">
        <v>471</v>
      </c>
      <c r="C10" s="15" t="s">
        <v>46</v>
      </c>
      <c r="D10" s="17" t="s">
        <v>19</v>
      </c>
      <c r="E10" s="12">
        <v>270</v>
      </c>
      <c r="F10" s="24">
        <v>1.75</v>
      </c>
      <c r="G10" s="25">
        <f t="shared" si="0"/>
        <v>472.5</v>
      </c>
      <c r="I10" s="6" t="s">
        <v>60</v>
      </c>
    </row>
    <row r="11" spans="1:11" x14ac:dyDescent="0.35">
      <c r="A11" s="12">
        <v>24</v>
      </c>
      <c r="B11" s="12">
        <v>471</v>
      </c>
      <c r="C11" s="15" t="s">
        <v>46</v>
      </c>
      <c r="D11" s="17" t="s">
        <v>19</v>
      </c>
      <c r="E11" s="12">
        <v>550</v>
      </c>
      <c r="F11" s="24">
        <v>1.75</v>
      </c>
      <c r="G11" s="25">
        <f t="shared" si="0"/>
        <v>962.5</v>
      </c>
    </row>
    <row r="12" spans="1:11" x14ac:dyDescent="0.35">
      <c r="A12" s="12">
        <v>24</v>
      </c>
      <c r="B12" s="12">
        <v>471</v>
      </c>
      <c r="C12" s="15" t="s">
        <v>46</v>
      </c>
      <c r="D12" s="17" t="s">
        <v>19</v>
      </c>
      <c r="E12" s="12">
        <v>576</v>
      </c>
      <c r="F12" s="24">
        <v>1.75</v>
      </c>
      <c r="G12" s="25">
        <f t="shared" si="0"/>
        <v>1008</v>
      </c>
    </row>
    <row r="13" spans="1:11" x14ac:dyDescent="0.35">
      <c r="A13" s="12">
        <v>24</v>
      </c>
      <c r="B13" s="12">
        <v>471</v>
      </c>
      <c r="C13" s="15" t="s">
        <v>46</v>
      </c>
      <c r="D13" s="17" t="s">
        <v>19</v>
      </c>
      <c r="E13" s="12">
        <v>345</v>
      </c>
      <c r="F13" s="24">
        <v>1.75</v>
      </c>
      <c r="G13" s="25">
        <f t="shared" si="0"/>
        <v>603.75</v>
      </c>
    </row>
    <row r="14" spans="1:11" x14ac:dyDescent="0.35">
      <c r="A14" s="12">
        <v>24</v>
      </c>
      <c r="B14" s="12">
        <v>471</v>
      </c>
      <c r="C14" s="15" t="s">
        <v>46</v>
      </c>
      <c r="D14" s="17" t="s">
        <v>19</v>
      </c>
      <c r="E14" s="12">
        <v>567</v>
      </c>
      <c r="F14" s="24">
        <v>1.75</v>
      </c>
      <c r="G14" s="25">
        <f t="shared" si="0"/>
        <v>992.25</v>
      </c>
    </row>
    <row r="15" spans="1:11" x14ac:dyDescent="0.35">
      <c r="A15" s="12">
        <v>24</v>
      </c>
      <c r="B15" s="12">
        <v>471</v>
      </c>
      <c r="C15" s="15" t="s">
        <v>46</v>
      </c>
      <c r="D15" s="17" t="s">
        <v>19</v>
      </c>
      <c r="E15" s="12">
        <v>425</v>
      </c>
      <c r="F15" s="24">
        <v>1.75</v>
      </c>
      <c r="G15" s="25">
        <f t="shared" si="0"/>
        <v>743.75</v>
      </c>
    </row>
    <row r="16" spans="1:11" x14ac:dyDescent="0.35">
      <c r="A16" s="12">
        <v>24</v>
      </c>
      <c r="B16" s="12">
        <v>471</v>
      </c>
      <c r="C16" s="15" t="s">
        <v>46</v>
      </c>
      <c r="D16" s="17" t="s">
        <v>19</v>
      </c>
      <c r="E16" s="12">
        <v>668</v>
      </c>
      <c r="F16" s="24">
        <v>1.75</v>
      </c>
      <c r="G16" s="25">
        <f t="shared" si="0"/>
        <v>1169</v>
      </c>
    </row>
    <row r="17" spans="1:14" x14ac:dyDescent="0.35">
      <c r="A17" s="12">
        <v>24</v>
      </c>
      <c r="B17" s="12">
        <v>471</v>
      </c>
      <c r="C17" s="15" t="s">
        <v>46</v>
      </c>
      <c r="D17" s="17" t="s">
        <v>19</v>
      </c>
      <c r="E17" s="12">
        <v>545</v>
      </c>
      <c r="F17" s="24">
        <v>1.75</v>
      </c>
      <c r="G17" s="25">
        <f t="shared" si="0"/>
        <v>953.75</v>
      </c>
    </row>
    <row r="18" spans="1:14" x14ac:dyDescent="0.35">
      <c r="A18" s="12">
        <v>24</v>
      </c>
      <c r="B18" s="12">
        <v>471</v>
      </c>
      <c r="C18" s="15" t="s">
        <v>46</v>
      </c>
      <c r="D18" s="17" t="s">
        <v>19</v>
      </c>
      <c r="E18" s="12">
        <v>342</v>
      </c>
      <c r="F18" s="24">
        <v>1.75</v>
      </c>
      <c r="G18" s="25">
        <f t="shared" si="0"/>
        <v>598.5</v>
      </c>
    </row>
    <row r="19" spans="1:14" x14ac:dyDescent="0.35">
      <c r="A19" s="12">
        <v>24</v>
      </c>
      <c r="B19" s="12">
        <v>471</v>
      </c>
      <c r="C19" s="15" t="s">
        <v>46</v>
      </c>
      <c r="D19" s="17" t="s">
        <v>19</v>
      </c>
      <c r="E19" s="12">
        <v>534</v>
      </c>
      <c r="F19" s="24">
        <v>1.75</v>
      </c>
      <c r="G19" s="25">
        <f t="shared" si="0"/>
        <v>934.5</v>
      </c>
    </row>
    <row r="20" spans="1:14" x14ac:dyDescent="0.35">
      <c r="A20" s="12">
        <v>24</v>
      </c>
      <c r="B20" s="12">
        <v>471</v>
      </c>
      <c r="C20" s="15" t="s">
        <v>46</v>
      </c>
      <c r="D20" s="17" t="s">
        <v>19</v>
      </c>
      <c r="E20" s="12">
        <v>234</v>
      </c>
      <c r="F20" s="24">
        <v>1.75</v>
      </c>
      <c r="G20" s="25">
        <f t="shared" si="0"/>
        <v>409.5</v>
      </c>
    </row>
    <row r="21" spans="1:14" x14ac:dyDescent="0.35">
      <c r="A21" s="12">
        <v>24</v>
      </c>
      <c r="B21" s="12">
        <v>471</v>
      </c>
      <c r="C21" s="15" t="s">
        <v>46</v>
      </c>
      <c r="D21" s="17" t="s">
        <v>19</v>
      </c>
      <c r="E21" s="12">
        <v>545</v>
      </c>
      <c r="F21" s="24">
        <v>1.75</v>
      </c>
      <c r="G21" s="25">
        <f t="shared" si="0"/>
        <v>953.75</v>
      </c>
    </row>
    <row r="22" spans="1:14" x14ac:dyDescent="0.35">
      <c r="A22" s="12">
        <v>24</v>
      </c>
      <c r="B22" s="12">
        <v>471</v>
      </c>
      <c r="C22" s="15" t="s">
        <v>46</v>
      </c>
      <c r="D22" s="17" t="s">
        <v>19</v>
      </c>
      <c r="E22" s="12">
        <v>633</v>
      </c>
      <c r="F22" s="24">
        <v>1.75</v>
      </c>
      <c r="G22" s="25">
        <f t="shared" si="0"/>
        <v>1107.75</v>
      </c>
    </row>
    <row r="23" spans="1:14" x14ac:dyDescent="0.35">
      <c r="G23" s="27">
        <f>SUM(G2:G22)</f>
        <v>16859.5</v>
      </c>
    </row>
    <row r="25" spans="1:14" x14ac:dyDescent="0.35">
      <c r="I25" s="46" t="s">
        <v>76</v>
      </c>
      <c r="J25" s="47"/>
      <c r="L25" s="40" t="s">
        <v>79</v>
      </c>
      <c r="M25" s="40"/>
      <c r="N25" s="40"/>
    </row>
    <row r="26" spans="1:14" x14ac:dyDescent="0.35">
      <c r="I26" s="9"/>
      <c r="J26" s="9"/>
      <c r="L26" s="9" t="s">
        <v>81</v>
      </c>
      <c r="M26" s="9" t="s">
        <v>87</v>
      </c>
      <c r="N26" s="9" t="s">
        <v>80</v>
      </c>
    </row>
    <row r="27" spans="1:14" x14ac:dyDescent="0.35">
      <c r="I27" s="9" t="s">
        <v>96</v>
      </c>
      <c r="J27" s="9">
        <f>AVERAGE(E2:E22)/AVERAGE(A2:A22)</f>
        <v>19.115079365079364</v>
      </c>
      <c r="L27" s="9">
        <v>1</v>
      </c>
      <c r="M27" s="9">
        <v>3</v>
      </c>
      <c r="N27" s="9">
        <f>M27*L27</f>
        <v>3</v>
      </c>
    </row>
    <row r="28" spans="1:14" x14ac:dyDescent="0.35">
      <c r="I28" s="9" t="s">
        <v>68</v>
      </c>
      <c r="J28" s="11">
        <v>22</v>
      </c>
    </row>
    <row r="29" spans="1:14" x14ac:dyDescent="0.35">
      <c r="I29" s="9" t="s">
        <v>97</v>
      </c>
      <c r="J29" s="10">
        <f>J28/60</f>
        <v>0.36666666666666664</v>
      </c>
    </row>
    <row r="30" spans="1:14" x14ac:dyDescent="0.35">
      <c r="I30" s="9" t="s">
        <v>95</v>
      </c>
      <c r="J30" s="9">
        <f>J27*J29</f>
        <v>7.0088624338624328</v>
      </c>
    </row>
    <row r="34" spans="2:2" x14ac:dyDescent="0.35">
      <c r="B34" s="6" t="s">
        <v>94</v>
      </c>
    </row>
  </sheetData>
  <mergeCells count="2">
    <mergeCell ref="I25:J25"/>
    <mergeCell ref="L25:N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Bus Transit  data</vt:lpstr>
      <vt:lpstr>Center of gravity</vt:lpstr>
      <vt:lpstr>Forecasting Ridership</vt:lpstr>
      <vt:lpstr>Passenger Demand forecasting</vt:lpstr>
      <vt:lpstr>little's law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Surya Chandana</dc:creator>
  <cp:lastModifiedBy>Bala Surya Chandana</cp:lastModifiedBy>
  <cp:lastPrinted>2024-02-27T05:10:30Z</cp:lastPrinted>
  <dcterms:created xsi:type="dcterms:W3CDTF">2015-06-05T18:17:20Z</dcterms:created>
  <dcterms:modified xsi:type="dcterms:W3CDTF">2025-05-20T19:38:25Z</dcterms:modified>
</cp:coreProperties>
</file>